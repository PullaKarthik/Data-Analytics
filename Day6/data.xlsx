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TS\Downloads\"/>
    </mc:Choice>
  </mc:AlternateContent>
  <xr:revisionPtr revIDLastSave="0" documentId="13_ncr:1_{AD289C1A-506A-41FC-B374-EBE6E0C67B8F}" xr6:coauthVersionLast="47" xr6:coauthVersionMax="47" xr10:uidLastSave="{00000000-0000-0000-0000-000000000000}"/>
  <bookViews>
    <workbookView xWindow="-120" yWindow="-120" windowWidth="29040" windowHeight="15720" xr2:uid="{B99F2ED9-C9C7-4B60-995E-4606690EA62F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0" i="1" l="1"/>
  <c r="K19" i="1"/>
  <c r="K16" i="1"/>
  <c r="K15" i="1"/>
  <c r="G24" i="1"/>
  <c r="G23" i="1"/>
  <c r="G20" i="1"/>
  <c r="G19" i="1"/>
  <c r="G16" i="1"/>
  <c r="G15" i="1"/>
  <c r="B27" i="1" s="1"/>
  <c r="B15" i="1"/>
  <c r="B18" i="1"/>
  <c r="B19" i="1"/>
  <c r="B26" i="1"/>
  <c r="B23" i="1"/>
  <c r="B22" i="1"/>
  <c r="B14" i="1"/>
  <c r="K2" i="1"/>
  <c r="M3" i="1"/>
  <c r="M4" i="1"/>
  <c r="M5" i="1"/>
  <c r="M6" i="1"/>
  <c r="M7" i="1"/>
  <c r="M8" i="1"/>
  <c r="M9" i="1"/>
  <c r="M10" i="1"/>
  <c r="M11" i="1"/>
  <c r="M2" i="1"/>
  <c r="L3" i="1"/>
  <c r="L4" i="1"/>
  <c r="L5" i="1"/>
  <c r="L6" i="1"/>
  <c r="L7" i="1"/>
  <c r="L8" i="1"/>
  <c r="L9" i="1"/>
  <c r="L10" i="1"/>
  <c r="L11" i="1"/>
  <c r="L2" i="1"/>
  <c r="K3" i="1"/>
  <c r="K4" i="1"/>
  <c r="K5" i="1"/>
  <c r="K6" i="1"/>
  <c r="K7" i="1"/>
  <c r="K8" i="1"/>
  <c r="K9" i="1"/>
  <c r="K10" i="1"/>
  <c r="K11" i="1"/>
  <c r="J2" i="1"/>
  <c r="J3" i="1"/>
  <c r="J4" i="1"/>
  <c r="J5" i="1"/>
  <c r="J6" i="1"/>
  <c r="J7" i="1"/>
  <c r="J8" i="1"/>
  <c r="J9" i="1"/>
  <c r="J10" i="1"/>
  <c r="J11" i="1"/>
  <c r="I3" i="1"/>
  <c r="N3" i="1" s="1"/>
  <c r="I4" i="1"/>
  <c r="N4" i="1" s="1"/>
  <c r="I5" i="1"/>
  <c r="N5" i="1" s="1"/>
  <c r="I6" i="1"/>
  <c r="N6" i="1" s="1"/>
  <c r="I7" i="1"/>
  <c r="N7" i="1" s="1"/>
  <c r="I8" i="1"/>
  <c r="N8" i="1" s="1"/>
  <c r="I9" i="1"/>
  <c r="N9" i="1" s="1"/>
  <c r="I10" i="1"/>
  <c r="N10" i="1" s="1"/>
  <c r="I11" i="1"/>
  <c r="N11" i="1" s="1"/>
  <c r="I2" i="1"/>
  <c r="N2" i="1" s="1"/>
</calcChain>
</file>

<file path=xl/sharedStrings.xml><?xml version="1.0" encoding="utf-8"?>
<sst xmlns="http://schemas.openxmlformats.org/spreadsheetml/2006/main" count="62" uniqueCount="43">
  <si>
    <t>ID</t>
  </si>
  <si>
    <t>Name</t>
  </si>
  <si>
    <t>Score</t>
  </si>
  <si>
    <t>Attendance</t>
  </si>
  <si>
    <t>Age</t>
  </si>
  <si>
    <t>Gender</t>
  </si>
  <si>
    <t>Subject</t>
  </si>
  <si>
    <t>Alice</t>
  </si>
  <si>
    <t>F</t>
  </si>
  <si>
    <t>Math</t>
  </si>
  <si>
    <t>Bob</t>
  </si>
  <si>
    <t>M</t>
  </si>
  <si>
    <t>Science</t>
  </si>
  <si>
    <t>Charlie</t>
  </si>
  <si>
    <t>English</t>
  </si>
  <si>
    <t>Diana</t>
  </si>
  <si>
    <t>History</t>
  </si>
  <si>
    <t>Ethan</t>
  </si>
  <si>
    <t>Fiona</t>
  </si>
  <si>
    <t>George</t>
  </si>
  <si>
    <t>Helen</t>
  </si>
  <si>
    <t>Ian</t>
  </si>
  <si>
    <t>Judy</t>
  </si>
  <si>
    <t>IF</t>
  </si>
  <si>
    <t>IFELSE</t>
  </si>
  <si>
    <t>AND</t>
  </si>
  <si>
    <t>OR</t>
  </si>
  <si>
    <t>NOT</t>
  </si>
  <si>
    <t>XOR</t>
  </si>
  <si>
    <t>COUNT</t>
  </si>
  <si>
    <t>COUNTIF</t>
  </si>
  <si>
    <t>COUNTA</t>
  </si>
  <si>
    <t>COUNTBLANK</t>
  </si>
  <si>
    <t>MEAN</t>
  </si>
  <si>
    <t>MEDIAN</t>
  </si>
  <si>
    <t>MODE</t>
  </si>
  <si>
    <t>ATTENDANCE</t>
  </si>
  <si>
    <t>AGE</t>
  </si>
  <si>
    <t>SCORE</t>
  </si>
  <si>
    <t>STD</t>
  </si>
  <si>
    <t>SAMPLE</t>
  </si>
  <si>
    <t>POPULATION</t>
  </si>
  <si>
    <t>VARIANCE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</si>
</sst>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/>
      <top style="thin">
        <color rgb="FF3F3F3F"/>
      </top>
      <bottom style="thin">
        <color rgb="FF3F3F3F"/>
      </bottom>
      <diagonal/>
    </border>
    <border>
      <left/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1" fillId="6" borderId="4" xfId="11"/>
    <xf numFmtId="0" fontId="1" fillId="11" borderId="5" xfId="20" applyBorder="1"/>
    <xf numFmtId="0" fontId="11" fillId="6" borderId="10" xfId="11" applyBorder="1" applyAlignment="1">
      <alignment horizontal="center"/>
    </xf>
    <xf numFmtId="0" fontId="11" fillId="6" borderId="11" xfId="11" applyBorder="1" applyAlignment="1">
      <alignment horizontal="center"/>
    </xf>
    <xf numFmtId="0" fontId="1" fillId="11" borderId="12" xfId="20" applyBorder="1" applyAlignment="1">
      <alignment horizontal="center"/>
    </xf>
    <xf numFmtId="0" fontId="1" fillId="11" borderId="13" xfId="20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F4C8F58-519A-4657-A40A-8061F91BD113}" name="Table1" displayName="Table1" ref="I1:N11" totalsRowShown="0" headerRowCellStyle="Normal" dataCellStyle="Normal">
  <autoFilter ref="I1:N11" xr:uid="{7F4C8F58-519A-4657-A40A-8061F91BD113}"/>
  <tableColumns count="6">
    <tableColumn id="1" xr3:uid="{87EE7CB9-8180-4629-9BAB-7E8F3469CDBD}" name="IF" dataCellStyle="Normal">
      <calculatedColumnFormula>IF(C2&lt;50,"FAIL","PASS")</calculatedColumnFormula>
    </tableColumn>
    <tableColumn id="2" xr3:uid="{53150FA0-75DE-4F9A-A52C-5220853A8E4F}" name="AND" dataCellStyle="Normal">
      <calculatedColumnFormula>IF(AND(C2&gt;=70,D2&gt;=80),"Scholarship","No")</calculatedColumnFormula>
    </tableColumn>
    <tableColumn id="3" xr3:uid="{0380F0D1-9874-4855-9E7F-E23103AE91B3}" name="IFELSE" dataCellStyle="Normal">
      <calculatedColumnFormula>IF(C2&gt;=90,"A",
   IF(C2&gt;=75,"B",
   IF(C2&gt;=60,"C",
   IF(C2&gt;=40,"D","F"))))</calculatedColumnFormula>
    </tableColumn>
    <tableColumn id="4" xr3:uid="{28922E6A-1617-4B8B-91BF-94BA0351EA4E}" name="OR" dataCellStyle="Normal">
      <calculatedColumnFormula>OR(C2&gt;=80, D2&gt;=90)</calculatedColumnFormula>
    </tableColumn>
    <tableColumn id="5" xr3:uid="{BB2DB7E0-C1B8-421A-8E92-F82452497115}" name="NOT" dataCellStyle="Normal">
      <calculatedColumnFormula>NOT(C2&gt;=50)</calculatedColumnFormula>
    </tableColumn>
    <tableColumn id="6" xr3:uid="{CA30B54C-F6EA-4156-886D-92FA905876B4}" name="XOR" dataCellStyle="Normal">
      <calculatedColumnFormula>_xlfn.XOR(F2="F", I2="PASS")</calculatedColumnFormula>
    </tableColumn>
  </tableColumns>
  <tableStyleInfo name="TableStyleMedium2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8EACC-DD47-4F25-A4E3-F7699E708721}">
  <dimension ref="A1:N27"/>
  <sheetViews>
    <sheetView tabSelected="1" zoomScaleNormal="100" workbookViewId="0">
      <selection activeCell="B21" sqref="B21:C21"/>
    </sheetView>
  </sheetViews>
  <sheetFormatPr defaultRowHeight="15" x14ac:dyDescent="0.25"/>
  <cols>
    <col min="1" max="1" width="3" bestFit="1" customWidth="1"/>
    <col min="2" max="2" width="7.42578125" bestFit="1" customWidth="1"/>
    <col min="3" max="3" width="5.85546875" bestFit="1" customWidth="1"/>
    <col min="4" max="4" width="9.85546875" customWidth="1"/>
    <col min="5" max="5" width="4.42578125" bestFit="1" customWidth="1"/>
    <col min="6" max="6" width="8.42578125" bestFit="1" customWidth="1"/>
    <col min="7" max="7" width="7.7109375" bestFit="1" customWidth="1"/>
    <col min="8" max="8" width="6.28515625" bestFit="1" customWidth="1"/>
    <col min="9" max="9" width="5.42578125" bestFit="1" customWidth="1"/>
    <col min="10" max="10" width="11.140625" bestFit="1" customWidth="1"/>
    <col min="11" max="11" width="8.7109375" bestFit="1" customWidth="1"/>
    <col min="12" max="12" width="6.140625" bestFit="1" customWidth="1"/>
    <col min="13" max="13" width="7.140625" bestFit="1" customWidth="1"/>
    <col min="14" max="14" width="7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I1" t="s">
        <v>23</v>
      </c>
      <c r="J1" t="s">
        <v>25</v>
      </c>
      <c r="K1" t="s">
        <v>24</v>
      </c>
      <c r="L1" t="s">
        <v>26</v>
      </c>
      <c r="M1" t="s">
        <v>27</v>
      </c>
      <c r="N1" t="s">
        <v>28</v>
      </c>
    </row>
    <row r="2" spans="1:14" x14ac:dyDescent="0.25">
      <c r="A2">
        <v>1</v>
      </c>
      <c r="B2" t="s">
        <v>7</v>
      </c>
      <c r="C2">
        <v>85</v>
      </c>
      <c r="D2">
        <v>90</v>
      </c>
      <c r="E2">
        <v>20</v>
      </c>
      <c r="F2" t="s">
        <v>8</v>
      </c>
      <c r="G2" t="s">
        <v>9</v>
      </c>
      <c r="I2" t="str">
        <f>IF(C2&lt;50,"FAIL","PASS")</f>
        <v>PASS</v>
      </c>
      <c r="J2" t="str">
        <f>IF(AND(C2&gt;=70,D2&gt;=80),"Scholarship","No")</f>
        <v>Scholarship</v>
      </c>
      <c r="K2" t="str">
        <f>IF(C2&gt;=90,"A",
   IF(C2&gt;=75,"B",
   IF(C2&gt;=60,"C",
   IF(C2&gt;=40,"D","F"))))</f>
        <v>B</v>
      </c>
      <c r="L2" t="b">
        <f>OR(C2&gt;=80, D2&gt;=90)</f>
        <v>1</v>
      </c>
      <c r="M2" t="b">
        <f>NOT(C2&gt;=50)</f>
        <v>0</v>
      </c>
      <c r="N2" t="b">
        <f>_xlfn.XOR(F2="F", I2="PASS")</f>
        <v>0</v>
      </c>
    </row>
    <row r="3" spans="1:14" x14ac:dyDescent="0.25">
      <c r="A3">
        <v>2</v>
      </c>
      <c r="B3" t="s">
        <v>10</v>
      </c>
      <c r="C3">
        <v>40</v>
      </c>
      <c r="D3">
        <v>60</v>
      </c>
      <c r="E3">
        <v>22</v>
      </c>
      <c r="F3" t="s">
        <v>11</v>
      </c>
      <c r="G3" t="s">
        <v>12</v>
      </c>
      <c r="I3" t="str">
        <f t="shared" ref="I3:I11" si="0">IF(C3&lt;50,"FAIL","PASS")</f>
        <v>FAIL</v>
      </c>
      <c r="J3" t="str">
        <f t="shared" ref="J3:J11" si="1">IF(AND(C3&gt;=70,D3&gt;=80),"Scholarship","No")</f>
        <v>No</v>
      </c>
      <c r="K3" t="str">
        <f>IF(C3&gt;=90,"A",
   IF(C3&gt;=75,"B",
   IF(C3&gt;=60,"C",
   IF(C3&gt;=40,"D","F"))))</f>
        <v>D</v>
      </c>
      <c r="L3" t="b">
        <f t="shared" ref="L3:L11" si="2">OR(C3&gt;=80, D3&gt;=90)</f>
        <v>0</v>
      </c>
      <c r="M3" t="b">
        <f t="shared" ref="M3:M11" si="3">NOT(C3&gt;=50)</f>
        <v>1</v>
      </c>
      <c r="N3" t="b">
        <f t="shared" ref="N3:N11" si="4">_xlfn.XOR(F3="F", I3="PASS")</f>
        <v>0</v>
      </c>
    </row>
    <row r="4" spans="1:14" x14ac:dyDescent="0.25">
      <c r="A4">
        <v>3</v>
      </c>
      <c r="B4" t="s">
        <v>13</v>
      </c>
      <c r="C4">
        <v>60</v>
      </c>
      <c r="D4">
        <v>75</v>
      </c>
      <c r="E4">
        <v>21</v>
      </c>
      <c r="F4" t="s">
        <v>11</v>
      </c>
      <c r="G4" t="s">
        <v>14</v>
      </c>
      <c r="I4" t="str">
        <f t="shared" si="0"/>
        <v>PASS</v>
      </c>
      <c r="J4" t="str">
        <f t="shared" si="1"/>
        <v>No</v>
      </c>
      <c r="K4" t="str">
        <f t="shared" ref="K4:K11" si="5">IF(C4&gt;=90,"A",
   IF(C4&gt;=75,"B",
   IF(C4&gt;=60,"C",
   IF(C4&gt;=40,"D","F"))))</f>
        <v>C</v>
      </c>
      <c r="L4" t="b">
        <f t="shared" si="2"/>
        <v>0</v>
      </c>
      <c r="M4" t="b">
        <f t="shared" si="3"/>
        <v>0</v>
      </c>
      <c r="N4" t="b">
        <f t="shared" si="4"/>
        <v>1</v>
      </c>
    </row>
    <row r="5" spans="1:14" x14ac:dyDescent="0.25">
      <c r="A5">
        <v>4</v>
      </c>
      <c r="B5" t="s">
        <v>15</v>
      </c>
      <c r="C5">
        <v>30</v>
      </c>
      <c r="D5">
        <v>90</v>
      </c>
      <c r="E5">
        <v>23</v>
      </c>
      <c r="F5" t="s">
        <v>8</v>
      </c>
      <c r="G5" t="s">
        <v>16</v>
      </c>
      <c r="I5" t="str">
        <f t="shared" si="0"/>
        <v>FAIL</v>
      </c>
      <c r="J5" t="str">
        <f t="shared" si="1"/>
        <v>No</v>
      </c>
      <c r="K5" t="str">
        <f t="shared" si="5"/>
        <v>F</v>
      </c>
      <c r="L5" t="b">
        <f t="shared" si="2"/>
        <v>1</v>
      </c>
      <c r="M5" t="b">
        <f t="shared" si="3"/>
        <v>1</v>
      </c>
      <c r="N5" t="b">
        <f t="shared" si="4"/>
        <v>1</v>
      </c>
    </row>
    <row r="6" spans="1:14" x14ac:dyDescent="0.25">
      <c r="A6">
        <v>5</v>
      </c>
      <c r="B6" t="s">
        <v>17</v>
      </c>
      <c r="C6">
        <v>75</v>
      </c>
      <c r="D6">
        <v>85</v>
      </c>
      <c r="E6">
        <v>20</v>
      </c>
      <c r="F6" t="s">
        <v>11</v>
      </c>
      <c r="G6" t="s">
        <v>9</v>
      </c>
      <c r="I6" t="str">
        <f t="shared" si="0"/>
        <v>PASS</v>
      </c>
      <c r="J6" t="str">
        <f t="shared" si="1"/>
        <v>Scholarship</v>
      </c>
      <c r="K6" t="str">
        <f t="shared" si="5"/>
        <v>B</v>
      </c>
      <c r="L6" t="b">
        <f t="shared" si="2"/>
        <v>0</v>
      </c>
      <c r="M6" t="b">
        <f t="shared" si="3"/>
        <v>0</v>
      </c>
      <c r="N6" t="b">
        <f t="shared" si="4"/>
        <v>1</v>
      </c>
    </row>
    <row r="7" spans="1:14" x14ac:dyDescent="0.25">
      <c r="A7">
        <v>6</v>
      </c>
      <c r="B7" t="s">
        <v>18</v>
      </c>
      <c r="C7">
        <v>55</v>
      </c>
      <c r="D7">
        <v>90</v>
      </c>
      <c r="E7">
        <v>22</v>
      </c>
      <c r="F7" t="s">
        <v>8</v>
      </c>
      <c r="G7" t="s">
        <v>12</v>
      </c>
      <c r="I7" t="str">
        <f t="shared" si="0"/>
        <v>PASS</v>
      </c>
      <c r="J7" t="str">
        <f t="shared" si="1"/>
        <v>No</v>
      </c>
      <c r="K7" t="str">
        <f t="shared" si="5"/>
        <v>D</v>
      </c>
      <c r="L7" t="b">
        <f t="shared" si="2"/>
        <v>1</v>
      </c>
      <c r="M7" t="b">
        <f t="shared" si="3"/>
        <v>0</v>
      </c>
      <c r="N7" t="b">
        <f t="shared" si="4"/>
        <v>0</v>
      </c>
    </row>
    <row r="8" spans="1:14" x14ac:dyDescent="0.25">
      <c r="A8">
        <v>7</v>
      </c>
      <c r="B8" t="s">
        <v>19</v>
      </c>
      <c r="C8">
        <v>95</v>
      </c>
      <c r="D8">
        <v>95</v>
      </c>
      <c r="E8">
        <v>24</v>
      </c>
      <c r="F8" t="s">
        <v>11</v>
      </c>
      <c r="G8" t="s">
        <v>14</v>
      </c>
      <c r="I8" t="str">
        <f t="shared" si="0"/>
        <v>PASS</v>
      </c>
      <c r="J8" t="str">
        <f t="shared" si="1"/>
        <v>Scholarship</v>
      </c>
      <c r="K8" t="str">
        <f t="shared" si="5"/>
        <v>A</v>
      </c>
      <c r="L8" t="b">
        <f t="shared" si="2"/>
        <v>1</v>
      </c>
      <c r="M8" t="b">
        <f t="shared" si="3"/>
        <v>0</v>
      </c>
      <c r="N8" t="b">
        <f t="shared" si="4"/>
        <v>1</v>
      </c>
    </row>
    <row r="9" spans="1:14" x14ac:dyDescent="0.25">
      <c r="A9">
        <v>8</v>
      </c>
      <c r="B9" t="s">
        <v>20</v>
      </c>
      <c r="C9">
        <v>45</v>
      </c>
      <c r="D9">
        <v>65</v>
      </c>
      <c r="E9">
        <v>21</v>
      </c>
      <c r="F9" t="s">
        <v>8</v>
      </c>
      <c r="G9" t="s">
        <v>16</v>
      </c>
      <c r="I9" t="str">
        <f t="shared" si="0"/>
        <v>FAIL</v>
      </c>
      <c r="J9" t="str">
        <f t="shared" si="1"/>
        <v>No</v>
      </c>
      <c r="K9" t="str">
        <f t="shared" si="5"/>
        <v>D</v>
      </c>
      <c r="L9" t="b">
        <f t="shared" si="2"/>
        <v>0</v>
      </c>
      <c r="M9" t="b">
        <f t="shared" si="3"/>
        <v>1</v>
      </c>
      <c r="N9" t="b">
        <f t="shared" si="4"/>
        <v>1</v>
      </c>
    </row>
    <row r="10" spans="1:14" x14ac:dyDescent="0.25">
      <c r="A10">
        <v>9</v>
      </c>
      <c r="B10" t="s">
        <v>21</v>
      </c>
      <c r="C10">
        <v>68</v>
      </c>
      <c r="D10">
        <v>90</v>
      </c>
      <c r="E10">
        <v>23</v>
      </c>
      <c r="F10" t="s">
        <v>11</v>
      </c>
      <c r="G10" t="s">
        <v>9</v>
      </c>
      <c r="I10" t="str">
        <f t="shared" si="0"/>
        <v>PASS</v>
      </c>
      <c r="J10" t="str">
        <f t="shared" si="1"/>
        <v>No</v>
      </c>
      <c r="K10" t="str">
        <f t="shared" si="5"/>
        <v>C</v>
      </c>
      <c r="L10" t="b">
        <f t="shared" si="2"/>
        <v>1</v>
      </c>
      <c r="M10" t="b">
        <f t="shared" si="3"/>
        <v>0</v>
      </c>
      <c r="N10" t="b">
        <f t="shared" si="4"/>
        <v>1</v>
      </c>
    </row>
    <row r="11" spans="1:14" x14ac:dyDescent="0.25">
      <c r="A11">
        <v>10</v>
      </c>
      <c r="B11" t="s">
        <v>22</v>
      </c>
      <c r="C11">
        <v>25</v>
      </c>
      <c r="D11">
        <v>40</v>
      </c>
      <c r="E11">
        <v>22</v>
      </c>
      <c r="F11" t="s">
        <v>8</v>
      </c>
      <c r="G11" t="s">
        <v>12</v>
      </c>
      <c r="I11" t="str">
        <f t="shared" si="0"/>
        <v>FAIL</v>
      </c>
      <c r="J11" t="str">
        <f t="shared" si="1"/>
        <v>No</v>
      </c>
      <c r="K11" t="str">
        <f t="shared" si="5"/>
        <v>F</v>
      </c>
      <c r="L11" t="b">
        <f t="shared" si="2"/>
        <v>0</v>
      </c>
      <c r="M11" t="b">
        <f t="shared" si="3"/>
        <v>1</v>
      </c>
      <c r="N11" t="b">
        <f t="shared" si="4"/>
        <v>1</v>
      </c>
    </row>
    <row r="13" spans="1:14" x14ac:dyDescent="0.25">
      <c r="B13" s="5" t="s">
        <v>29</v>
      </c>
      <c r="C13" s="6"/>
    </row>
    <row r="14" spans="1:14" x14ac:dyDescent="0.25">
      <c r="B14" s="2">
        <f>COUNT(B2:B11,D2:D11)</f>
        <v>10</v>
      </c>
      <c r="C14" s="2"/>
      <c r="F14" s="3" t="s">
        <v>35</v>
      </c>
      <c r="G14" s="4"/>
      <c r="H14" s="1"/>
      <c r="I14" s="1"/>
      <c r="J14" s="3" t="s">
        <v>39</v>
      </c>
      <c r="K14" s="4"/>
    </row>
    <row r="15" spans="1:14" x14ac:dyDescent="0.25">
      <c r="B15" s="2">
        <f>COUNT(C2:C11,G2:G11)</f>
        <v>10</v>
      </c>
      <c r="C15" s="2"/>
      <c r="F15" s="1" t="s">
        <v>36</v>
      </c>
      <c r="G15" s="1">
        <f>_xlfn.MODE.SNGL(D2:D11)</f>
        <v>90</v>
      </c>
      <c r="H15" s="1"/>
      <c r="I15" s="1"/>
      <c r="J15" s="1" t="s">
        <v>40</v>
      </c>
      <c r="K15" s="1">
        <f>_xlfn.STDEV.S(C2:C11)</f>
        <v>23.251284313392713</v>
      </c>
    </row>
    <row r="16" spans="1:14" x14ac:dyDescent="0.25">
      <c r="B16" s="2"/>
      <c r="C16" s="2"/>
      <c r="F16" s="1" t="s">
        <v>37</v>
      </c>
      <c r="G16" s="1">
        <f>MODE(E2:E11)</f>
        <v>22</v>
      </c>
      <c r="H16" s="1"/>
      <c r="I16" s="1"/>
      <c r="J16" s="1" t="s">
        <v>41</v>
      </c>
      <c r="K16" s="1">
        <f>_xlfn.STDEV.P(C2:C11)</f>
        <v>22.05810508633958</v>
      </c>
    </row>
    <row r="17" spans="2:11" x14ac:dyDescent="0.25">
      <c r="B17" s="5" t="s">
        <v>30</v>
      </c>
      <c r="C17" s="6"/>
      <c r="F17" s="1"/>
      <c r="G17" s="1"/>
      <c r="H17" s="1"/>
      <c r="I17" s="1"/>
      <c r="J17" s="1"/>
      <c r="K17" s="1"/>
    </row>
    <row r="18" spans="2:11" x14ac:dyDescent="0.25">
      <c r="B18" s="2">
        <f>COUNTIF(G2:G11,G3)</f>
        <v>3</v>
      </c>
      <c r="C18" s="2"/>
      <c r="F18" s="3" t="s">
        <v>33</v>
      </c>
      <c r="G18" s="4"/>
      <c r="H18" s="1"/>
      <c r="I18" s="1"/>
      <c r="J18" s="3" t="s">
        <v>42</v>
      </c>
      <c r="K18" s="4"/>
    </row>
    <row r="19" spans="2:11" x14ac:dyDescent="0.25">
      <c r="B19" s="2">
        <f>COUNTIF(F3:F12,F3)</f>
        <v>5</v>
      </c>
      <c r="C19" s="2"/>
      <c r="F19" s="1" t="s">
        <v>37</v>
      </c>
      <c r="G19" s="1">
        <f>AVERAGE(E2:E11)</f>
        <v>21.8</v>
      </c>
      <c r="H19" s="1"/>
      <c r="I19" s="1"/>
      <c r="J19" s="1" t="s">
        <v>40</v>
      </c>
      <c r="K19" s="1">
        <f>_xlfn.VAR.S(E2:E11)</f>
        <v>1.7333333333333332</v>
      </c>
    </row>
    <row r="20" spans="2:11" x14ac:dyDescent="0.25">
      <c r="B20" s="2"/>
      <c r="C20" s="2"/>
      <c r="F20" s="1" t="s">
        <v>38</v>
      </c>
      <c r="G20" s="1">
        <f>AVERAGE(C2:C11)</f>
        <v>57.8</v>
      </c>
      <c r="H20" s="1"/>
      <c r="I20" s="1"/>
      <c r="J20" s="1" t="s">
        <v>41</v>
      </c>
      <c r="K20" s="1">
        <f>_xlfn.VAR.P(E2:E11)</f>
        <v>1.5599999999999998</v>
      </c>
    </row>
    <row r="21" spans="2:11" x14ac:dyDescent="0.25">
      <c r="B21" s="5" t="s">
        <v>31</v>
      </c>
      <c r="C21" s="6"/>
      <c r="F21" s="1"/>
      <c r="G21" s="1"/>
      <c r="H21" s="1"/>
      <c r="I21" s="1"/>
      <c r="J21" s="1"/>
      <c r="K21" s="1"/>
    </row>
    <row r="22" spans="2:11" x14ac:dyDescent="0.25">
      <c r="B22" s="2">
        <f>COUNTA(C2:C11,F2:F12)</f>
        <v>20</v>
      </c>
      <c r="C22" s="2"/>
      <c r="F22" s="3" t="s">
        <v>34</v>
      </c>
      <c r="G22" s="4"/>
      <c r="H22" s="1"/>
      <c r="I22" s="1"/>
      <c r="J22" s="1"/>
      <c r="K22" s="1"/>
    </row>
    <row r="23" spans="2:11" x14ac:dyDescent="0.25">
      <c r="B23" s="2">
        <f>COUNTA(C3:C12,F3:F13)</f>
        <v>18</v>
      </c>
      <c r="C23" s="2"/>
      <c r="F23" s="1" t="s">
        <v>36</v>
      </c>
      <c r="G23" s="1">
        <f>MEDIAN(D2:D11)</f>
        <v>87.5</v>
      </c>
      <c r="H23" s="1"/>
      <c r="I23" s="1"/>
      <c r="J23" s="1"/>
      <c r="K23" s="1"/>
    </row>
    <row r="24" spans="2:11" x14ac:dyDescent="0.25">
      <c r="B24" s="2"/>
      <c r="C24" s="2"/>
      <c r="F24" s="1" t="s">
        <v>37</v>
      </c>
      <c r="G24" s="1">
        <f>MEDIAN(E2:E11)</f>
        <v>22</v>
      </c>
      <c r="H24" s="1"/>
      <c r="I24" s="1"/>
      <c r="J24" s="1"/>
      <c r="K24" s="1"/>
    </row>
    <row r="25" spans="2:11" x14ac:dyDescent="0.25">
      <c r="B25" s="2" t="s">
        <v>32</v>
      </c>
      <c r="C25" s="2"/>
    </row>
    <row r="26" spans="2:11" x14ac:dyDescent="0.25">
      <c r="B26" s="2">
        <f>COUNTBLANK(G2:G18)</f>
        <v>5</v>
      </c>
      <c r="C26" s="2"/>
    </row>
    <row r="27" spans="2:11" x14ac:dyDescent="0.25">
      <c r="B27" s="2">
        <f>COUNTBLANK(F3:F16)</f>
        <v>2</v>
      </c>
      <c r="C27" s="2"/>
    </row>
  </sheetData>
  <mergeCells count="8">
    <mergeCell ref="F14:G14"/>
    <mergeCell ref="F18:G18"/>
    <mergeCell ref="F22:G22"/>
    <mergeCell ref="J14:K14"/>
    <mergeCell ref="J18:K18"/>
    <mergeCell ref="B13:C13"/>
    <mergeCell ref="B17:C17"/>
    <mergeCell ref="B21:C2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MITS</cp:lastModifiedBy>
  <dcterms:created xsi:type="dcterms:W3CDTF">2026-06-02T07:11:14Z</dcterms:created>
  <dcterms:modified xsi:type="dcterms:W3CDTF">2026-06-02T09:39:02Z</dcterms:modified>
</cp:coreProperties>
</file>