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esktop\"/>
    </mc:Choice>
  </mc:AlternateContent>
  <xr:revisionPtr revIDLastSave="0" documentId="13_ncr:1_{16E14BDD-681D-49E2-8C23-F685C5F35814}" xr6:coauthVersionLast="47" xr6:coauthVersionMax="47" xr10:uidLastSave="{00000000-0000-0000-0000-000000000000}"/>
  <bookViews>
    <workbookView xWindow="-108" yWindow="-108" windowWidth="23256" windowHeight="12456" xr2:uid="{493BADC1-3F74-4149-A2C4-78D700A2CFE8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1" l="1"/>
  <c r="K35" i="1"/>
  <c r="I38" i="1"/>
  <c r="I35" i="1"/>
  <c r="G38" i="1"/>
  <c r="G35" i="1"/>
  <c r="D38" i="1"/>
  <c r="D35" i="1"/>
  <c r="B38" i="1"/>
  <c r="B35" i="1"/>
  <c r="I29" i="1"/>
  <c r="K29" i="1"/>
  <c r="K26" i="1"/>
  <c r="I26" i="1"/>
  <c r="F31" i="1"/>
  <c r="F30" i="1"/>
  <c r="F27" i="1"/>
  <c r="F26" i="1"/>
  <c r="D31" i="1"/>
  <c r="D30" i="1"/>
  <c r="D27" i="1"/>
  <c r="D26" i="1"/>
  <c r="B30" i="1"/>
  <c r="B31" i="1"/>
  <c r="B27" i="1"/>
  <c r="B26" i="1"/>
  <c r="R11" i="1"/>
  <c r="R10" i="1"/>
  <c r="Q2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3" i="1"/>
  <c r="R7" i="1"/>
  <c r="R6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O3" i="1"/>
  <c r="N3" i="1"/>
  <c r="L11" i="1"/>
  <c r="L8" i="1"/>
  <c r="L5" i="1"/>
  <c r="J20" i="1"/>
  <c r="J19" i="1"/>
  <c r="J15" i="1"/>
  <c r="J16" i="1"/>
  <c r="J11" i="1"/>
  <c r="J12" i="1"/>
  <c r="J8" i="1"/>
  <c r="J4" i="1"/>
  <c r="J5" i="1"/>
</calcChain>
</file>

<file path=xl/sharedStrings.xml><?xml version="1.0" encoding="utf-8"?>
<sst xmlns="http://schemas.openxmlformats.org/spreadsheetml/2006/main" count="149" uniqueCount="82">
  <si>
    <t>EmployeeID</t>
  </si>
  <si>
    <t>Name</t>
  </si>
  <si>
    <t>Department</t>
  </si>
  <si>
    <t>Role</t>
  </si>
  <si>
    <t>Salary</t>
  </si>
  <si>
    <t>PerformanceScore</t>
  </si>
  <si>
    <t>BonusEligibility</t>
  </si>
  <si>
    <t>Anita Rao</t>
  </si>
  <si>
    <t>Finance</t>
  </si>
  <si>
    <t>Analyst</t>
  </si>
  <si>
    <t>Yes</t>
  </si>
  <si>
    <t>Rajesh Kumar</t>
  </si>
  <si>
    <t>Manager</t>
  </si>
  <si>
    <t>Meena Singh</t>
  </si>
  <si>
    <t>HR</t>
  </si>
  <si>
    <t>Recruiter</t>
  </si>
  <si>
    <t>No</t>
  </si>
  <si>
    <t>Vikram Das</t>
  </si>
  <si>
    <t>IT</t>
  </si>
  <si>
    <t>Developer</t>
  </si>
  <si>
    <t>Sunita Verma</t>
  </si>
  <si>
    <t>Tester</t>
  </si>
  <si>
    <t>Arjun Patel</t>
  </si>
  <si>
    <t>Sales</t>
  </si>
  <si>
    <t>Executive</t>
  </si>
  <si>
    <t>Kavya Iyer</t>
  </si>
  <si>
    <t>Suresh Nair</t>
  </si>
  <si>
    <t>Accountant</t>
  </si>
  <si>
    <t>Pooja Sharma</t>
  </si>
  <si>
    <t>Deepak Reddy</t>
  </si>
  <si>
    <t>Neha Joshi</t>
  </si>
  <si>
    <t>Amit Sharma</t>
  </si>
  <si>
    <t>Rekha Menon</t>
  </si>
  <si>
    <t>Sanjay Gupta</t>
  </si>
  <si>
    <t>Divya Kapoor</t>
  </si>
  <si>
    <t>Manoj Reddy</t>
  </si>
  <si>
    <t>Anjali Desai</t>
  </si>
  <si>
    <t>Rohit Malhotra</t>
  </si>
  <si>
    <t>Shweta Bansal</t>
  </si>
  <si>
    <t>Prakash Iyer</t>
  </si>
  <si>
    <t>Joining Date</t>
  </si>
  <si>
    <t>Functions of Date &amp; Time</t>
  </si>
  <si>
    <t>Date</t>
  </si>
  <si>
    <t>Today</t>
  </si>
  <si>
    <t>EOMONTH</t>
  </si>
  <si>
    <t>NETWORKDAYS</t>
  </si>
  <si>
    <t>WEEKDAYS</t>
  </si>
  <si>
    <t>YEAR</t>
  </si>
  <si>
    <t>MONTH</t>
  </si>
  <si>
    <t>DAY</t>
  </si>
  <si>
    <t>AND</t>
  </si>
  <si>
    <t>OR</t>
  </si>
  <si>
    <t>NOT</t>
  </si>
  <si>
    <t>ISBLANK</t>
  </si>
  <si>
    <t>ISERROR</t>
  </si>
  <si>
    <t>IFERROR</t>
  </si>
  <si>
    <t>IF</t>
  </si>
  <si>
    <t>Text Functions</t>
  </si>
  <si>
    <t>FIND</t>
  </si>
  <si>
    <t>REPLACE</t>
  </si>
  <si>
    <t>SUBSTITUTE</t>
  </si>
  <si>
    <t>MID</t>
  </si>
  <si>
    <t>SEARCH</t>
  </si>
  <si>
    <t>CONCAT</t>
  </si>
  <si>
    <t>LOGICAL FUNCTIONS</t>
  </si>
  <si>
    <t>LOOKUP FUNCTIONS</t>
  </si>
  <si>
    <t>VLOOKUP</t>
  </si>
  <si>
    <t>HLOOKUP</t>
  </si>
  <si>
    <t>XLOOKUP</t>
  </si>
  <si>
    <t>INDEX+MATCH</t>
  </si>
  <si>
    <t>COUNT FUNCTIONS</t>
  </si>
  <si>
    <t>COUNT</t>
  </si>
  <si>
    <t>COUNTA</t>
  </si>
  <si>
    <t>COUNTIF</t>
  </si>
  <si>
    <t>COUNTBLANK</t>
  </si>
  <si>
    <t>MATHEMATICAL FUNCTIONS</t>
  </si>
  <si>
    <t>PRODUCT</t>
  </si>
  <si>
    <t>MOD</t>
  </si>
  <si>
    <t>SQRT</t>
  </si>
  <si>
    <t>FACT</t>
  </si>
  <si>
    <t>ROUNDUP</t>
  </si>
  <si>
    <t>ROUND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</si>
</sst>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9" fillId="5" borderId="4" xfId="9"/>
    <xf numFmtId="14" fontId="9" fillId="5" borderId="4" xfId="9" applyNumberFormat="1"/>
    <xf numFmtId="0" fontId="11" fillId="6" borderId="4" xfId="11"/>
    <xf numFmtId="0" fontId="13" fillId="7" borderId="7" xfId="13"/>
    <xf numFmtId="0" fontId="0" fillId="8" borderId="8" xfId="15" applyFon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2A9-5265-4722-9AF8-2AEB073F10CC}">
  <dimension ref="A1:U38"/>
  <sheetViews>
    <sheetView tabSelected="1" workbookViewId="0">
      <selection activeCell="N1" sqref="N1:R1"/>
    </sheetView>
  </sheetViews>
  <sheetFormatPr defaultRowHeight="14.4" x14ac:dyDescent="0.3"/>
  <cols>
    <col min="5" max="5" width="10.44140625" bestFit="1" customWidth="1"/>
    <col min="7" max="7" width="12.44140625" customWidth="1"/>
    <col min="8" max="8" width="13.21875" bestFit="1" customWidth="1"/>
    <col min="9" max="9" width="12" bestFit="1" customWidth="1"/>
    <col min="10" max="10" width="10.33203125" bestFit="1" customWidth="1"/>
    <col min="11" max="11" width="9" bestFit="1" customWidth="1"/>
    <col min="17" max="17" width="17.77734375" bestFit="1" customWidth="1"/>
    <col min="18" max="18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</v>
      </c>
      <c r="G1" t="s">
        <v>5</v>
      </c>
      <c r="H1" t="s">
        <v>6</v>
      </c>
      <c r="J1" s="2" t="s">
        <v>41</v>
      </c>
      <c r="K1" s="2"/>
      <c r="L1" s="2"/>
      <c r="N1" s="4" t="s">
        <v>64</v>
      </c>
      <c r="O1" s="4"/>
      <c r="P1" s="4"/>
      <c r="Q1" s="4"/>
      <c r="R1" s="4"/>
    </row>
    <row r="2" spans="1:18" x14ac:dyDescent="0.3">
      <c r="A2">
        <v>101</v>
      </c>
      <c r="B2" t="s">
        <v>7</v>
      </c>
      <c r="C2" t="s">
        <v>8</v>
      </c>
      <c r="D2" t="s">
        <v>9</v>
      </c>
      <c r="E2" s="1">
        <v>43905</v>
      </c>
      <c r="F2">
        <v>55000</v>
      </c>
      <c r="G2">
        <v>82</v>
      </c>
      <c r="H2" t="s">
        <v>10</v>
      </c>
      <c r="J2" s="2"/>
      <c r="K2" s="2"/>
      <c r="L2" s="2"/>
      <c r="N2" s="4" t="s">
        <v>50</v>
      </c>
      <c r="O2" s="4" t="s">
        <v>51</v>
      </c>
      <c r="P2" s="4" t="s">
        <v>52</v>
      </c>
      <c r="Q2" s="4" t="s">
        <v>56</v>
      </c>
      <c r="R2" s="4" t="s">
        <v>53</v>
      </c>
    </row>
    <row r="3" spans="1:18" x14ac:dyDescent="0.3">
      <c r="A3">
        <v>102</v>
      </c>
      <c r="B3" t="s">
        <v>11</v>
      </c>
      <c r="C3" t="s">
        <v>8</v>
      </c>
      <c r="D3" t="s">
        <v>12</v>
      </c>
      <c r="E3" s="1">
        <v>43282</v>
      </c>
      <c r="F3">
        <v>78000</v>
      </c>
      <c r="G3">
        <v>90</v>
      </c>
      <c r="H3" t="s">
        <v>10</v>
      </c>
      <c r="J3" s="2" t="s">
        <v>42</v>
      </c>
      <c r="K3" s="2"/>
      <c r="L3" s="2"/>
      <c r="N3" s="4" t="b">
        <f>AND(G2&gt;80,H2="Yes")</f>
        <v>1</v>
      </c>
      <c r="O3" s="4" t="b">
        <f>OR(H2&lt;=80,D2="Analyst")</f>
        <v>1</v>
      </c>
      <c r="P3" s="4" t="b">
        <f>NOT(D2="Analyst")</f>
        <v>0</v>
      </c>
      <c r="Q3" s="4" t="str">
        <f>IF(G2&gt;80,"High Performer","Needs Improvement")</f>
        <v>High Performer</v>
      </c>
      <c r="R3" s="4" t="b">
        <f>ISBLANK(G2)</f>
        <v>0</v>
      </c>
    </row>
    <row r="4" spans="1:18" x14ac:dyDescent="0.3">
      <c r="A4">
        <v>103</v>
      </c>
      <c r="B4" t="s">
        <v>13</v>
      </c>
      <c r="C4" t="s">
        <v>14</v>
      </c>
      <c r="D4" t="s">
        <v>15</v>
      </c>
      <c r="E4" s="1">
        <v>44216</v>
      </c>
      <c r="F4">
        <v>48000</v>
      </c>
      <c r="G4">
        <v>75</v>
      </c>
      <c r="H4" t="s">
        <v>16</v>
      </c>
      <c r="J4" s="3">
        <f>DATE(2026,7,24)</f>
        <v>46227</v>
      </c>
      <c r="K4" s="2"/>
      <c r="L4" s="2" t="s">
        <v>47</v>
      </c>
      <c r="N4" s="4" t="b">
        <f>AND(G3&gt;80,H3="Yes")</f>
        <v>1</v>
      </c>
      <c r="O4" s="4" t="b">
        <f>OR(H3&lt;=80,D3="Analyst")</f>
        <v>0</v>
      </c>
      <c r="P4" s="4" t="b">
        <f>NOT(D3="Analyst")</f>
        <v>1</v>
      </c>
      <c r="Q4" s="4" t="str">
        <f>IF(G3&gt;80,"High Performer","Needs Improvement")</f>
        <v>High Performer</v>
      </c>
      <c r="R4" s="4"/>
    </row>
    <row r="5" spans="1:18" x14ac:dyDescent="0.3">
      <c r="A5">
        <v>104</v>
      </c>
      <c r="B5" t="s">
        <v>17</v>
      </c>
      <c r="C5" t="s">
        <v>18</v>
      </c>
      <c r="D5" t="s">
        <v>19</v>
      </c>
      <c r="E5" s="1">
        <v>43780</v>
      </c>
      <c r="F5">
        <v>62000</v>
      </c>
      <c r="G5">
        <v>88</v>
      </c>
      <c r="H5" t="s">
        <v>10</v>
      </c>
      <c r="J5" s="3">
        <f>DATE(2026,7,27)</f>
        <v>46230</v>
      </c>
      <c r="K5" s="2"/>
      <c r="L5" s="2">
        <f ca="1">YEAR(TODAY())</f>
        <v>2026</v>
      </c>
      <c r="N5" s="4" t="b">
        <f>AND(G4&gt;80,H4="Yes")</f>
        <v>0</v>
      </c>
      <c r="O5" s="4" t="b">
        <f>OR(H4&lt;=80,D4="Analyst")</f>
        <v>0</v>
      </c>
      <c r="P5" s="4" t="b">
        <f>NOT(D4="Analyst")</f>
        <v>1</v>
      </c>
      <c r="Q5" s="4" t="str">
        <f>IF(G4&gt;80,"High Performer","Needs Improvement")</f>
        <v>Needs Improvement</v>
      </c>
      <c r="R5" s="4" t="s">
        <v>55</v>
      </c>
    </row>
    <row r="6" spans="1:18" x14ac:dyDescent="0.3">
      <c r="A6">
        <v>105</v>
      </c>
      <c r="B6" t="s">
        <v>20</v>
      </c>
      <c r="C6" t="s">
        <v>18</v>
      </c>
      <c r="D6" t="s">
        <v>21</v>
      </c>
      <c r="E6" s="1">
        <v>44686</v>
      </c>
      <c r="F6">
        <v>45000</v>
      </c>
      <c r="G6">
        <v>70</v>
      </c>
      <c r="H6" t="s">
        <v>16</v>
      </c>
      <c r="J6" s="2"/>
      <c r="K6" s="2"/>
      <c r="L6" s="2"/>
      <c r="N6" s="4" t="b">
        <f>AND(G5&gt;80,H5="Yes")</f>
        <v>1</v>
      </c>
      <c r="O6" s="4" t="b">
        <f>OR(H5&lt;=80,D5="Analyst")</f>
        <v>0</v>
      </c>
      <c r="P6" s="4" t="b">
        <f>NOT(D5="Analyst")</f>
        <v>1</v>
      </c>
      <c r="Q6" s="4" t="str">
        <f>IF(G5&gt;80,"High Performer","Needs Improvement")</f>
        <v>High Performer</v>
      </c>
      <c r="R6" s="4">
        <f>IFERROR(F2/G2,"Check Data")</f>
        <v>670.73170731707319</v>
      </c>
    </row>
    <row r="7" spans="1:18" x14ac:dyDescent="0.3">
      <c r="A7">
        <v>106</v>
      </c>
      <c r="B7" t="s">
        <v>22</v>
      </c>
      <c r="C7" t="s">
        <v>23</v>
      </c>
      <c r="D7" t="s">
        <v>24</v>
      </c>
      <c r="E7" s="1">
        <v>44104</v>
      </c>
      <c r="F7">
        <v>50000</v>
      </c>
      <c r="G7">
        <v>85</v>
      </c>
      <c r="H7" t="s">
        <v>10</v>
      </c>
      <c r="J7" s="2" t="s">
        <v>43</v>
      </c>
      <c r="K7" s="2"/>
      <c r="L7" s="2" t="s">
        <v>48</v>
      </c>
      <c r="N7" s="4" t="b">
        <f>AND(G6&gt;80,H6="Yes")</f>
        <v>0</v>
      </c>
      <c r="O7" s="4" t="b">
        <f>OR(H6&lt;=80,D6="Analyst")</f>
        <v>0</v>
      </c>
      <c r="P7" s="4" t="b">
        <f>NOT(D6="Analyst")</f>
        <v>1</v>
      </c>
      <c r="Q7" s="4" t="str">
        <f>IF(G6&gt;80,"High Performer","Needs Improvement")</f>
        <v>Needs Improvement</v>
      </c>
      <c r="R7" s="4">
        <f>IFERROR(F3/G3,"Check Data")</f>
        <v>866.66666666666663</v>
      </c>
    </row>
    <row r="8" spans="1:18" x14ac:dyDescent="0.3">
      <c r="A8">
        <v>107</v>
      </c>
      <c r="B8" t="s">
        <v>25</v>
      </c>
      <c r="C8" t="s">
        <v>23</v>
      </c>
      <c r="D8" t="s">
        <v>12</v>
      </c>
      <c r="E8" s="1">
        <v>42904</v>
      </c>
      <c r="F8">
        <v>80000</v>
      </c>
      <c r="G8">
        <v>92</v>
      </c>
      <c r="H8" t="s">
        <v>10</v>
      </c>
      <c r="J8" s="3">
        <f ca="1">TODAY()</f>
        <v>46176</v>
      </c>
      <c r="K8" s="2"/>
      <c r="L8" s="2">
        <f ca="1">MONTH(TODAY())</f>
        <v>6</v>
      </c>
      <c r="N8" s="4" t="b">
        <f>AND(G7&gt;80,H7="Yes")</f>
        <v>1</v>
      </c>
      <c r="O8" s="4" t="b">
        <f>OR(H7&lt;=80,D7="Analyst")</f>
        <v>0</v>
      </c>
      <c r="P8" s="4" t="b">
        <f>NOT(D7="Analyst")</f>
        <v>1</v>
      </c>
      <c r="Q8" s="4" t="str">
        <f>IF(G7&gt;80,"High Performer","Needs Improvement")</f>
        <v>High Performer</v>
      </c>
      <c r="R8" s="4"/>
    </row>
    <row r="9" spans="1:18" x14ac:dyDescent="0.3">
      <c r="A9">
        <v>108</v>
      </c>
      <c r="B9" t="s">
        <v>26</v>
      </c>
      <c r="C9" t="s">
        <v>8</v>
      </c>
      <c r="D9" t="s">
        <v>27</v>
      </c>
      <c r="E9" s="1">
        <v>44967</v>
      </c>
      <c r="F9">
        <v>47000</v>
      </c>
      <c r="G9">
        <v>68</v>
      </c>
      <c r="H9" t="s">
        <v>16</v>
      </c>
      <c r="J9" s="2"/>
      <c r="K9" s="2"/>
      <c r="L9" s="2"/>
      <c r="N9" s="4" t="b">
        <f>AND(G8&gt;80,H8="Yes")</f>
        <v>1</v>
      </c>
      <c r="O9" s="4" t="b">
        <f>OR(H8&lt;=80,D8="Analyst")</f>
        <v>0</v>
      </c>
      <c r="P9" s="4" t="b">
        <f>NOT(D8="Analyst")</f>
        <v>1</v>
      </c>
      <c r="Q9" s="4" t="str">
        <f>IF(G8&gt;80,"High Performer","Needs Improvement")</f>
        <v>High Performer</v>
      </c>
      <c r="R9" s="4" t="s">
        <v>54</v>
      </c>
    </row>
    <row r="10" spans="1:18" x14ac:dyDescent="0.3">
      <c r="A10">
        <v>109</v>
      </c>
      <c r="B10" t="s">
        <v>28</v>
      </c>
      <c r="C10" t="s">
        <v>14</v>
      </c>
      <c r="D10" t="s">
        <v>12</v>
      </c>
      <c r="E10" s="1">
        <v>42705</v>
      </c>
      <c r="F10">
        <v>75000</v>
      </c>
      <c r="G10">
        <v>95</v>
      </c>
      <c r="H10" t="s">
        <v>10</v>
      </c>
      <c r="J10" s="2" t="s">
        <v>44</v>
      </c>
      <c r="K10" s="2"/>
      <c r="L10" s="2" t="s">
        <v>49</v>
      </c>
      <c r="N10" s="4" t="b">
        <f>AND(G9&gt;80,H9="Yes")</f>
        <v>0</v>
      </c>
      <c r="O10" s="4" t="b">
        <f>OR(H9&lt;=80,D9="Analyst")</f>
        <v>0</v>
      </c>
      <c r="P10" s="4" t="b">
        <f>NOT(D9="Analyst")</f>
        <v>1</v>
      </c>
      <c r="Q10" s="4" t="str">
        <f>IF(G9&gt;80,"High Performer","Needs Improvement")</f>
        <v>Needs Improvement</v>
      </c>
      <c r="R10" s="4" t="b">
        <f>ISERROR(F2/G2)</f>
        <v>0</v>
      </c>
    </row>
    <row r="11" spans="1:18" x14ac:dyDescent="0.3">
      <c r="A11">
        <v>110</v>
      </c>
      <c r="B11" t="s">
        <v>29</v>
      </c>
      <c r="C11" t="s">
        <v>18</v>
      </c>
      <c r="D11" t="s">
        <v>19</v>
      </c>
      <c r="E11" s="1">
        <v>44433</v>
      </c>
      <c r="F11">
        <v>60000</v>
      </c>
      <c r="G11">
        <v>80</v>
      </c>
      <c r="H11" t="s">
        <v>10</v>
      </c>
      <c r="J11" s="3">
        <f ca="1">EOMONTH(TODAY(),4)</f>
        <v>46326</v>
      </c>
      <c r="K11" s="2"/>
      <c r="L11" s="2">
        <f ca="1">DAY(TODAY())</f>
        <v>3</v>
      </c>
      <c r="N11" s="4" t="b">
        <f>AND(G10&gt;80,H10="Yes")</f>
        <v>1</v>
      </c>
      <c r="O11" s="4" t="b">
        <f>OR(H10&lt;=80,D10="Analyst")</f>
        <v>0</v>
      </c>
      <c r="P11" s="4" t="b">
        <f>NOT(D10="Analyst")</f>
        <v>1</v>
      </c>
      <c r="Q11" s="4" t="str">
        <f>IF(G10&gt;80,"High Performer","Needs Improvement")</f>
        <v>High Performer</v>
      </c>
      <c r="R11" s="4" t="b">
        <f>ISERROR(F3/G3)</f>
        <v>0</v>
      </c>
    </row>
    <row r="12" spans="1:18" x14ac:dyDescent="0.3">
      <c r="A12">
        <v>111</v>
      </c>
      <c r="B12" t="s">
        <v>30</v>
      </c>
      <c r="C12" t="s">
        <v>8</v>
      </c>
      <c r="D12" t="s">
        <v>9</v>
      </c>
      <c r="E12" s="1">
        <v>44265</v>
      </c>
      <c r="F12">
        <v>56000</v>
      </c>
      <c r="G12">
        <v>78</v>
      </c>
      <c r="H12" t="s">
        <v>16</v>
      </c>
      <c r="J12" s="3">
        <f ca="1">EOMONTH(TODAY(),3)</f>
        <v>46295</v>
      </c>
      <c r="K12" s="2"/>
      <c r="L12" s="2"/>
      <c r="N12" s="4" t="b">
        <f>AND(G11&gt;80,H11="Yes")</f>
        <v>0</v>
      </c>
      <c r="O12" s="4" t="b">
        <f>OR(H11&lt;=80,D11="Analyst")</f>
        <v>0</v>
      </c>
      <c r="P12" s="4" t="b">
        <f>NOT(D11="Analyst")</f>
        <v>1</v>
      </c>
      <c r="Q12" s="4" t="str">
        <f>IF(G11&gt;80,"High Performer","Needs Improvement")</f>
        <v>Needs Improvement</v>
      </c>
      <c r="R12" s="4"/>
    </row>
    <row r="13" spans="1:18" x14ac:dyDescent="0.3">
      <c r="A13">
        <v>112</v>
      </c>
      <c r="B13" t="s">
        <v>31</v>
      </c>
      <c r="C13" t="s">
        <v>14</v>
      </c>
      <c r="D13" t="s">
        <v>15</v>
      </c>
      <c r="E13" s="1">
        <v>43733</v>
      </c>
      <c r="F13">
        <v>49000</v>
      </c>
      <c r="G13">
        <v>83</v>
      </c>
      <c r="H13" t="s">
        <v>10</v>
      </c>
      <c r="J13" s="2"/>
      <c r="K13" s="2"/>
      <c r="L13" s="2"/>
      <c r="N13" s="4" t="b">
        <f>AND(G12&gt;80,H12="Yes")</f>
        <v>0</v>
      </c>
      <c r="O13" s="4" t="b">
        <f>OR(H12&lt;=80,D12="Analyst")</f>
        <v>1</v>
      </c>
      <c r="P13" s="4" t="b">
        <f>NOT(D12="Analyst")</f>
        <v>0</v>
      </c>
      <c r="Q13" s="4" t="str">
        <f>IF(G12&gt;80,"High Performer","Needs Improvement")</f>
        <v>Needs Improvement</v>
      </c>
      <c r="R13" s="4"/>
    </row>
    <row r="14" spans="1:18" x14ac:dyDescent="0.3">
      <c r="A14">
        <v>113</v>
      </c>
      <c r="B14" t="s">
        <v>32</v>
      </c>
      <c r="C14" t="s">
        <v>18</v>
      </c>
      <c r="D14" t="s">
        <v>19</v>
      </c>
      <c r="E14" s="1">
        <v>43265</v>
      </c>
      <c r="F14">
        <v>64000</v>
      </c>
      <c r="G14">
        <v>87</v>
      </c>
      <c r="H14" t="s">
        <v>10</v>
      </c>
      <c r="J14" s="2" t="s">
        <v>45</v>
      </c>
      <c r="K14" s="2"/>
      <c r="L14" s="2"/>
      <c r="N14" s="4" t="b">
        <f>AND(G13&gt;80,H13="Yes")</f>
        <v>1</v>
      </c>
      <c r="O14" s="4" t="b">
        <f>OR(H13&lt;=80,D13="Analyst")</f>
        <v>0</v>
      </c>
      <c r="P14" s="4" t="b">
        <f>NOT(D13="Analyst")</f>
        <v>1</v>
      </c>
      <c r="Q14" s="4" t="str">
        <f>IF(G13&gt;80,"High Performer","Needs Improvement")</f>
        <v>High Performer</v>
      </c>
      <c r="R14" s="4"/>
    </row>
    <row r="15" spans="1:18" x14ac:dyDescent="0.3">
      <c r="A15">
        <v>114</v>
      </c>
      <c r="B15" t="s">
        <v>33</v>
      </c>
      <c r="C15" t="s">
        <v>23</v>
      </c>
      <c r="D15" t="s">
        <v>24</v>
      </c>
      <c r="E15" s="1">
        <v>44566</v>
      </c>
      <c r="F15">
        <v>52000</v>
      </c>
      <c r="G15">
        <v>72</v>
      </c>
      <c r="H15" t="s">
        <v>16</v>
      </c>
      <c r="J15" s="2">
        <f ca="1">NETWORKDAYS(TODAY(),"31-08-2026",30)</f>
        <v>64</v>
      </c>
      <c r="K15" s="2"/>
      <c r="L15" s="2"/>
      <c r="N15" s="4" t="b">
        <f>AND(G14&gt;80,H14="Yes")</f>
        <v>1</v>
      </c>
      <c r="O15" s="4" t="b">
        <f>OR(H14&lt;=80,D14="Analyst")</f>
        <v>0</v>
      </c>
      <c r="P15" s="4" t="b">
        <f>NOT(D14="Analyst")</f>
        <v>1</v>
      </c>
      <c r="Q15" s="4" t="str">
        <f>IF(G14&gt;80,"High Performer","Needs Improvement")</f>
        <v>High Performer</v>
      </c>
      <c r="R15" s="4"/>
    </row>
    <row r="16" spans="1:18" x14ac:dyDescent="0.3">
      <c r="A16">
        <v>115</v>
      </c>
      <c r="B16" t="s">
        <v>34</v>
      </c>
      <c r="C16" t="s">
        <v>8</v>
      </c>
      <c r="D16" t="s">
        <v>12</v>
      </c>
      <c r="E16" s="1">
        <v>43059</v>
      </c>
      <c r="F16">
        <v>81000</v>
      </c>
      <c r="G16">
        <v>94</v>
      </c>
      <c r="H16" t="s">
        <v>10</v>
      </c>
      <c r="J16" s="2">
        <f ca="1">NETWORKDAYS(TODAY(),"30-09-2026",30)</f>
        <v>86</v>
      </c>
      <c r="K16" s="2"/>
      <c r="L16" s="2"/>
      <c r="N16" s="4" t="b">
        <f>AND(G15&gt;80,H15="Yes")</f>
        <v>0</v>
      </c>
      <c r="O16" s="4" t="b">
        <f>OR(H15&lt;=80,D15="Analyst")</f>
        <v>0</v>
      </c>
      <c r="P16" s="4" t="b">
        <f>NOT(D15="Analyst")</f>
        <v>1</v>
      </c>
      <c r="Q16" s="4" t="str">
        <f>IF(G15&gt;80,"High Performer","Needs Improvement")</f>
        <v>Needs Improvement</v>
      </c>
      <c r="R16" s="4"/>
    </row>
    <row r="17" spans="1:21" x14ac:dyDescent="0.3">
      <c r="A17">
        <v>116</v>
      </c>
      <c r="B17" t="s">
        <v>35</v>
      </c>
      <c r="C17" t="s">
        <v>18</v>
      </c>
      <c r="D17" t="s">
        <v>21</v>
      </c>
      <c r="E17" s="1">
        <v>45034</v>
      </c>
      <c r="F17">
        <v>46000</v>
      </c>
      <c r="G17">
        <v>69</v>
      </c>
      <c r="H17" t="s">
        <v>16</v>
      </c>
      <c r="J17" s="2"/>
      <c r="K17" s="2"/>
      <c r="L17" s="2"/>
      <c r="N17" s="4" t="b">
        <f>AND(G16&gt;80,H16="Yes")</f>
        <v>1</v>
      </c>
      <c r="O17" s="4" t="b">
        <f>OR(H16&lt;=80,D16="Analyst")</f>
        <v>0</v>
      </c>
      <c r="P17" s="4" t="b">
        <f>NOT(D16="Analyst")</f>
        <v>1</v>
      </c>
      <c r="Q17" s="4" t="str">
        <f>IF(G16&gt;80,"High Performer","Needs Improvement")</f>
        <v>High Performer</v>
      </c>
      <c r="R17" s="4"/>
    </row>
    <row r="18" spans="1:21" x14ac:dyDescent="0.3">
      <c r="A18">
        <v>117</v>
      </c>
      <c r="B18" t="s">
        <v>36</v>
      </c>
      <c r="C18" t="s">
        <v>14</v>
      </c>
      <c r="D18" t="s">
        <v>12</v>
      </c>
      <c r="E18" s="1">
        <v>42612</v>
      </c>
      <c r="F18">
        <v>76000</v>
      </c>
      <c r="G18">
        <v>91</v>
      </c>
      <c r="H18" t="s">
        <v>10</v>
      </c>
      <c r="J18" s="2" t="s">
        <v>46</v>
      </c>
      <c r="K18" s="2"/>
      <c r="L18" s="2"/>
      <c r="N18" s="4" t="b">
        <f>AND(G17&gt;80,H17="Yes")</f>
        <v>0</v>
      </c>
      <c r="O18" s="4" t="b">
        <f>OR(H17&lt;=80,D17="Analyst")</f>
        <v>0</v>
      </c>
      <c r="P18" s="4" t="b">
        <f>NOT(D17="Analyst")</f>
        <v>1</v>
      </c>
      <c r="Q18" s="4" t="str">
        <f>IF(G17&gt;80,"High Performer","Needs Improvement")</f>
        <v>Needs Improvement</v>
      </c>
      <c r="R18" s="4"/>
    </row>
    <row r="19" spans="1:21" x14ac:dyDescent="0.3">
      <c r="A19">
        <v>118</v>
      </c>
      <c r="B19" t="s">
        <v>37</v>
      </c>
      <c r="C19" t="s">
        <v>23</v>
      </c>
      <c r="D19" t="s">
        <v>12</v>
      </c>
      <c r="E19" s="1">
        <v>43811</v>
      </c>
      <c r="F19">
        <v>83000</v>
      </c>
      <c r="G19">
        <v>89</v>
      </c>
      <c r="H19" t="s">
        <v>10</v>
      </c>
      <c r="J19" s="2">
        <f ca="1">WEEKDAY(TODAY())</f>
        <v>4</v>
      </c>
      <c r="K19" s="2"/>
      <c r="L19" s="2"/>
      <c r="N19" s="4" t="b">
        <f>AND(G18&gt;80,H18="Yes")</f>
        <v>1</v>
      </c>
      <c r="O19" s="4" t="b">
        <f>OR(H18&lt;=80,D18="Analyst")</f>
        <v>0</v>
      </c>
      <c r="P19" s="4" t="b">
        <f>NOT(D18="Analyst")</f>
        <v>1</v>
      </c>
      <c r="Q19" s="4" t="str">
        <f>IF(G18&gt;80,"High Performer","Needs Improvement")</f>
        <v>High Performer</v>
      </c>
      <c r="R19" s="4"/>
    </row>
    <row r="20" spans="1:21" x14ac:dyDescent="0.3">
      <c r="A20">
        <v>119</v>
      </c>
      <c r="B20" t="s">
        <v>38</v>
      </c>
      <c r="C20" t="s">
        <v>8</v>
      </c>
      <c r="D20" t="s">
        <v>27</v>
      </c>
      <c r="E20" s="1">
        <v>44019</v>
      </c>
      <c r="F20">
        <v>48000</v>
      </c>
      <c r="G20">
        <v>74</v>
      </c>
      <c r="H20" t="s">
        <v>16</v>
      </c>
      <c r="J20" s="2">
        <f>WEEKDAY("01-06-2026")</f>
        <v>2</v>
      </c>
      <c r="K20" s="2"/>
      <c r="L20" s="2"/>
      <c r="N20" s="4" t="b">
        <f>AND(G19&gt;80,H19="Yes")</f>
        <v>1</v>
      </c>
      <c r="O20" s="4" t="b">
        <f>OR(H19&lt;=80,D19="Analyst")</f>
        <v>0</v>
      </c>
      <c r="P20" s="4" t="b">
        <f>NOT(D19="Analyst")</f>
        <v>1</v>
      </c>
      <c r="Q20" s="4" t="str">
        <f>IF(G19&gt;80,"High Performer","Needs Improvement")</f>
        <v>High Performer</v>
      </c>
      <c r="R20" s="4"/>
    </row>
    <row r="21" spans="1:21" x14ac:dyDescent="0.3">
      <c r="A21">
        <v>120</v>
      </c>
      <c r="B21" t="s">
        <v>39</v>
      </c>
      <c r="C21" t="s">
        <v>18</v>
      </c>
      <c r="D21" t="s">
        <v>19</v>
      </c>
      <c r="E21" s="1">
        <v>44491</v>
      </c>
      <c r="F21">
        <v>61000</v>
      </c>
      <c r="G21">
        <v>82</v>
      </c>
      <c r="H21" t="s">
        <v>10</v>
      </c>
      <c r="N21" s="4" t="b">
        <f>AND(G20&gt;80,H20="Yes")</f>
        <v>0</v>
      </c>
      <c r="O21" s="4" t="b">
        <f>OR(H20&lt;=80,D20="Analyst")</f>
        <v>0</v>
      </c>
      <c r="P21" s="4" t="b">
        <f>NOT(D20="Analyst")</f>
        <v>1</v>
      </c>
      <c r="Q21" s="4" t="str">
        <f>IF(G20&gt;80,"High Performer","Needs Improvement")</f>
        <v>Needs Improvement</v>
      </c>
      <c r="R21" s="4"/>
    </row>
    <row r="22" spans="1:21" x14ac:dyDescent="0.3">
      <c r="N22" s="4" t="b">
        <f>AND(G21&gt;80,H21="Yes")</f>
        <v>1</v>
      </c>
      <c r="O22" s="4" t="b">
        <f>OR(H21&lt;=80,D21="Analyst")</f>
        <v>0</v>
      </c>
      <c r="P22" s="4" t="b">
        <f>NOT(D21="Analyst")</f>
        <v>1</v>
      </c>
      <c r="Q22" s="4" t="str">
        <f>IF(G21&gt;80,"High Performer","Needs Improvement")</f>
        <v>High Performer</v>
      </c>
      <c r="R22" s="4"/>
    </row>
    <row r="23" spans="1:21" ht="15" thickBot="1" x14ac:dyDescent="0.35"/>
    <row r="24" spans="1:21" ht="15.6" thickTop="1" thickBot="1" x14ac:dyDescent="0.35">
      <c r="B24" s="5" t="s">
        <v>57</v>
      </c>
      <c r="C24" s="5"/>
      <c r="D24" s="5"/>
      <c r="E24" s="5"/>
      <c r="F24" s="5"/>
      <c r="G24" s="5"/>
      <c r="I24" s="6" t="s">
        <v>65</v>
      </c>
      <c r="J24" s="6"/>
      <c r="K24" s="6"/>
      <c r="L24" s="6"/>
      <c r="N24">
        <v>101</v>
      </c>
      <c r="O24" t="s">
        <v>7</v>
      </c>
      <c r="P24" t="s">
        <v>8</v>
      </c>
      <c r="Q24" t="s">
        <v>9</v>
      </c>
      <c r="R24" s="1">
        <v>43905</v>
      </c>
      <c r="S24">
        <v>55000</v>
      </c>
      <c r="T24">
        <v>82</v>
      </c>
      <c r="U24" t="s">
        <v>10</v>
      </c>
    </row>
    <row r="25" spans="1:21" ht="15.6" thickTop="1" thickBot="1" x14ac:dyDescent="0.35">
      <c r="B25" s="5" t="s">
        <v>58</v>
      </c>
      <c r="C25" s="5"/>
      <c r="D25" s="5" t="s">
        <v>60</v>
      </c>
      <c r="E25" s="5"/>
      <c r="F25" s="5" t="s">
        <v>62</v>
      </c>
      <c r="G25" s="5"/>
      <c r="I25" s="6" t="s">
        <v>66</v>
      </c>
      <c r="J25" s="6"/>
      <c r="K25" s="6" t="s">
        <v>68</v>
      </c>
      <c r="L25" s="6"/>
      <c r="N25">
        <v>102</v>
      </c>
      <c r="O25" t="s">
        <v>11</v>
      </c>
      <c r="P25" t="s">
        <v>8</v>
      </c>
      <c r="Q25" t="s">
        <v>12</v>
      </c>
      <c r="R25" s="1">
        <v>43282</v>
      </c>
      <c r="S25">
        <v>78000</v>
      </c>
      <c r="T25">
        <v>90</v>
      </c>
      <c r="U25" t="s">
        <v>10</v>
      </c>
    </row>
    <row r="26" spans="1:21" ht="15.6" thickTop="1" thickBot="1" x14ac:dyDescent="0.35">
      <c r="B26" s="5">
        <f>FIND("ram","Vikram",3)</f>
        <v>4</v>
      </c>
      <c r="C26" s="5"/>
      <c r="D26" s="5" t="str">
        <f>SUBSTITUTE(D2,"Analyst","Consultant")</f>
        <v>Consultant</v>
      </c>
      <c r="E26" s="5"/>
      <c r="F26" s="5">
        <f>SEARCH("NITA",B2)</f>
        <v>2</v>
      </c>
      <c r="G26" s="5"/>
      <c r="I26" s="6">
        <f>VLOOKUP(104, A2:H21, 6, FALSE)</f>
        <v>62000</v>
      </c>
      <c r="J26" s="6"/>
      <c r="K26" s="6">
        <f>_xlfn.XLOOKUP(115, A2:A21, G2:G21, "Not Found")</f>
        <v>94</v>
      </c>
      <c r="L26" s="6"/>
      <c r="N26">
        <v>103</v>
      </c>
      <c r="O26" t="s">
        <v>13</v>
      </c>
      <c r="P26" t="s">
        <v>14</v>
      </c>
      <c r="Q26" t="s">
        <v>15</v>
      </c>
      <c r="R26" s="1">
        <v>44216</v>
      </c>
      <c r="S26">
        <v>48000</v>
      </c>
      <c r="T26">
        <v>75</v>
      </c>
      <c r="U26" t="s">
        <v>16</v>
      </c>
    </row>
    <row r="27" spans="1:21" ht="15.6" thickTop="1" thickBot="1" x14ac:dyDescent="0.35">
      <c r="B27" s="5">
        <f>FIND("kha","Rekha",1)</f>
        <v>3</v>
      </c>
      <c r="C27" s="5"/>
      <c r="D27" s="5" t="str">
        <f>SUBSTITUTE(D20,"Accountant","Analyst")</f>
        <v>Analyst</v>
      </c>
      <c r="E27" s="5"/>
      <c r="F27" s="5">
        <f>SEARCH("AJESH",B3)</f>
        <v>2</v>
      </c>
      <c r="G27" s="5"/>
      <c r="I27" s="6"/>
      <c r="J27" s="6"/>
      <c r="K27" s="6"/>
      <c r="L27" s="6"/>
      <c r="N27">
        <v>104</v>
      </c>
      <c r="O27" t="s">
        <v>17</v>
      </c>
      <c r="P27" t="s">
        <v>18</v>
      </c>
      <c r="Q27" t="s">
        <v>19</v>
      </c>
      <c r="R27" s="1">
        <v>43780</v>
      </c>
      <c r="S27">
        <v>62000</v>
      </c>
      <c r="T27">
        <v>88</v>
      </c>
      <c r="U27" t="s">
        <v>10</v>
      </c>
    </row>
    <row r="28" spans="1:21" ht="15.6" thickTop="1" thickBot="1" x14ac:dyDescent="0.35">
      <c r="B28" s="5"/>
      <c r="C28" s="5"/>
      <c r="D28" s="5"/>
      <c r="E28" s="5"/>
      <c r="F28" s="5"/>
      <c r="G28" s="5"/>
      <c r="I28" s="6" t="s">
        <v>67</v>
      </c>
      <c r="J28" s="6"/>
      <c r="K28" s="6" t="s">
        <v>69</v>
      </c>
      <c r="L28" s="6"/>
      <c r="N28">
        <v>105</v>
      </c>
      <c r="O28" t="s">
        <v>20</v>
      </c>
      <c r="P28" t="s">
        <v>18</v>
      </c>
      <c r="Q28" t="s">
        <v>21</v>
      </c>
      <c r="R28" s="1">
        <v>44686</v>
      </c>
      <c r="S28">
        <v>45000</v>
      </c>
      <c r="T28">
        <v>70</v>
      </c>
      <c r="U28" t="s">
        <v>16</v>
      </c>
    </row>
    <row r="29" spans="1:21" ht="15.6" thickTop="1" thickBot="1" x14ac:dyDescent="0.35">
      <c r="B29" s="5" t="s">
        <v>59</v>
      </c>
      <c r="C29" s="5"/>
      <c r="D29" s="5" t="s">
        <v>61</v>
      </c>
      <c r="E29" s="5"/>
      <c r="F29" s="5" t="s">
        <v>63</v>
      </c>
      <c r="G29" s="5"/>
      <c r="I29" s="6" t="e">
        <f>HLOOKUP(104, N27:U28, 4, TRUE)</f>
        <v>#REF!</v>
      </c>
      <c r="J29" s="6"/>
      <c r="K29" s="6" t="str">
        <f>INDEX(H2:H21, MATCH(110, A2:A21, 0))</f>
        <v>Yes</v>
      </c>
      <c r="L29" s="6"/>
    </row>
    <row r="30" spans="1:21" ht="15.6" thickTop="1" thickBot="1" x14ac:dyDescent="0.35">
      <c r="B30" s="5" t="str">
        <f>REPLACE("Accountant",1,9,"Analyst")</f>
        <v>Analystt</v>
      </c>
      <c r="C30" s="5"/>
      <c r="D30" s="5" t="str">
        <f>MID(B2,2,4)</f>
        <v>nita</v>
      </c>
      <c r="E30" s="5"/>
      <c r="F30" s="5" t="str">
        <f>_xlfn.CONCAT(B2," - ",D2)</f>
        <v>Anita Rao - Analyst</v>
      </c>
      <c r="G30" s="5"/>
      <c r="I30" s="6"/>
      <c r="J30" s="6"/>
      <c r="K30" s="6"/>
      <c r="L30" s="6"/>
    </row>
    <row r="31" spans="1:21" ht="15.6" thickTop="1" thickBot="1" x14ac:dyDescent="0.35">
      <c r="B31" s="5" t="str">
        <f>REPLACE("Recruiter",1,8,"Engineer")</f>
        <v>Engineerr</v>
      </c>
      <c r="C31" s="5"/>
      <c r="D31" s="5" t="str">
        <f>MID(B3,2,4)</f>
        <v>ajes</v>
      </c>
      <c r="E31" s="5"/>
      <c r="F31" s="5" t="str">
        <f>_xlfn.CONCAT(B3," - ",D3)</f>
        <v>Rajesh Kumar - Manager</v>
      </c>
      <c r="G31" s="5"/>
    </row>
    <row r="32" spans="1:21" ht="15" thickTop="1" x14ac:dyDescent="0.3"/>
    <row r="33" spans="2:12" x14ac:dyDescent="0.3">
      <c r="B33" s="7" t="s">
        <v>70</v>
      </c>
      <c r="C33" s="7"/>
      <c r="D33" s="7"/>
      <c r="E33" s="7"/>
      <c r="G33" s="4" t="s">
        <v>75</v>
      </c>
      <c r="H33" s="4"/>
      <c r="I33" s="4"/>
      <c r="J33" s="4"/>
      <c r="K33" s="4"/>
      <c r="L33" s="4"/>
    </row>
    <row r="34" spans="2:12" x14ac:dyDescent="0.3">
      <c r="B34" s="7" t="s">
        <v>71</v>
      </c>
      <c r="C34" s="7"/>
      <c r="D34" s="7" t="s">
        <v>73</v>
      </c>
      <c r="E34" s="7"/>
      <c r="G34" s="4" t="s">
        <v>76</v>
      </c>
      <c r="H34" s="4"/>
      <c r="I34" s="4" t="s">
        <v>78</v>
      </c>
      <c r="J34" s="4"/>
      <c r="K34" s="4" t="s">
        <v>80</v>
      </c>
      <c r="L34" s="4"/>
    </row>
    <row r="35" spans="2:12" x14ac:dyDescent="0.3">
      <c r="B35" s="7">
        <f>COUNT(G2:G21)</f>
        <v>20</v>
      </c>
      <c r="C35" s="7"/>
      <c r="D35" s="7">
        <f>COUNTIF(C2:C21, "Finance")</f>
        <v>6</v>
      </c>
      <c r="E35" s="7"/>
      <c r="G35" s="4">
        <f>PRODUCT(G2:G4)</f>
        <v>553500</v>
      </c>
      <c r="H35" s="4"/>
      <c r="I35" s="4">
        <f>SQRT(G10)</f>
        <v>9.7467943448089631</v>
      </c>
      <c r="J35" s="4"/>
      <c r="K35" s="4">
        <f>ROUNDUP(F7, -4)</f>
        <v>50000</v>
      </c>
      <c r="L35" s="4"/>
    </row>
    <row r="36" spans="2:12" x14ac:dyDescent="0.3">
      <c r="B36" s="7"/>
      <c r="C36" s="7"/>
      <c r="D36" s="7"/>
      <c r="E36" s="7"/>
      <c r="G36" s="4"/>
      <c r="H36" s="4"/>
      <c r="I36" s="4"/>
      <c r="J36" s="4"/>
      <c r="K36" s="4"/>
      <c r="L36" s="4"/>
    </row>
    <row r="37" spans="2:12" x14ac:dyDescent="0.3">
      <c r="B37" s="7" t="s">
        <v>72</v>
      </c>
      <c r="C37" s="7"/>
      <c r="D37" s="7" t="s">
        <v>74</v>
      </c>
      <c r="E37" s="7"/>
      <c r="G37" s="4" t="s">
        <v>77</v>
      </c>
      <c r="H37" s="4"/>
      <c r="I37" s="4" t="s">
        <v>79</v>
      </c>
      <c r="J37" s="4"/>
      <c r="K37" s="4" t="s">
        <v>81</v>
      </c>
      <c r="L37" s="4"/>
    </row>
    <row r="38" spans="2:12" x14ac:dyDescent="0.3">
      <c r="B38" s="7">
        <f>COUNTA(C2:C21)</f>
        <v>20</v>
      </c>
      <c r="C38" s="7"/>
      <c r="D38" s="7">
        <f>COUNTBLANK(D2:D21)</f>
        <v>0</v>
      </c>
      <c r="E38" s="7"/>
      <c r="G38" s="4">
        <f>MOD(F5, 1000)</f>
        <v>0</v>
      </c>
      <c r="H38" s="4"/>
      <c r="I38" s="4">
        <f>FACT(G4)</f>
        <v>2.4809140811395404E+109</v>
      </c>
      <c r="J38" s="4"/>
      <c r="K38" s="4">
        <f>ROUNDDOWN(F19, -3)</f>
        <v>83000</v>
      </c>
      <c r="L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PULLA KARTHIK LE 06</cp:lastModifiedBy>
  <dcterms:created xsi:type="dcterms:W3CDTF">2026-06-03T09:21:33Z</dcterms:created>
  <dcterms:modified xsi:type="dcterms:W3CDTF">2026-06-03T17:17:09Z</dcterms:modified>
</cp:coreProperties>
</file>