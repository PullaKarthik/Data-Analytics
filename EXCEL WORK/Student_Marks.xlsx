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 TRAINING\"/>
    </mc:Choice>
  </mc:AlternateContent>
  <xr:revisionPtr revIDLastSave="0" documentId="13_ncr:1_{1AB81C32-3E56-4D48-94DB-BCEC69275C45}" xr6:coauthVersionLast="47" xr6:coauthVersionMax="47" xr10:uidLastSave="{00000000-0000-0000-0000-000000000000}"/>
  <bookViews>
    <workbookView xWindow="-120" yWindow="-120" windowWidth="29040" windowHeight="15720" activeTab="2" xr2:uid="{BB8D380B-BD22-46CD-AB9D-420F3738BA3D}"/>
  </bookViews>
  <sheets>
    <sheet name="Sheet1" sheetId="2" r:id="rId1"/>
    <sheet name="Sheet2" sheetId="3" r:id="rId2"/>
    <sheet name="Student_Mark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0" i="1" l="1"/>
  <c r="B109" i="1"/>
  <c r="C109" i="1"/>
  <c r="C108" i="1"/>
  <c r="B108" i="1"/>
  <c r="C107" i="1"/>
  <c r="B107" i="1"/>
  <c r="C106" i="1"/>
  <c r="B106" i="1"/>
  <c r="C105" i="1"/>
  <c r="B105" i="1"/>
  <c r="B104" i="1"/>
  <c r="C104" i="1"/>
  <c r="B103" i="1"/>
  <c r="B102" i="1"/>
  <c r="C102" i="1"/>
  <c r="C103" i="1" s="1"/>
</calcChain>
</file>

<file path=xl/sharedStrings.xml><?xml version="1.0" encoding="utf-8"?>
<sst xmlns="http://schemas.openxmlformats.org/spreadsheetml/2006/main" count="66" uniqueCount="51">
  <si>
    <t>number_courses</t>
  </si>
  <si>
    <t>time_study</t>
  </si>
  <si>
    <t>Marks</t>
  </si>
  <si>
    <t>MAX VAL</t>
  </si>
  <si>
    <t>MEDIAN</t>
  </si>
  <si>
    <t>MIN VAL</t>
  </si>
  <si>
    <t>RANGE</t>
  </si>
  <si>
    <t>VARIANCE</t>
  </si>
  <si>
    <t>MEAN</t>
  </si>
  <si>
    <t>STD DEVIATION(POPULATION)</t>
  </si>
  <si>
    <t>STD DEVIATION(SAMPLE)</t>
  </si>
  <si>
    <t>CORRELATION OF COL B &amp; COL C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</si>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</sst>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 plot of Study time &amp;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Student_Marks!$B$2:$B$101</c:f>
              <c:numCache>
                <c:formatCode>General</c:formatCode>
                <c:ptCount val="100"/>
                <c:pt idx="0">
                  <c:v>4.508</c:v>
                </c:pt>
                <c:pt idx="1">
                  <c:v>9.6000000000000002E-2</c:v>
                </c:pt>
                <c:pt idx="2">
                  <c:v>3.133</c:v>
                </c:pt>
                <c:pt idx="3">
                  <c:v>7.9089999999999998</c:v>
                </c:pt>
                <c:pt idx="4">
                  <c:v>7.8109999999999999</c:v>
                </c:pt>
                <c:pt idx="5">
                  <c:v>3.2109999999999999</c:v>
                </c:pt>
                <c:pt idx="6">
                  <c:v>6.0629999999999997</c:v>
                </c:pt>
                <c:pt idx="7">
                  <c:v>3.4129999999999998</c:v>
                </c:pt>
                <c:pt idx="8">
                  <c:v>4.41</c:v>
                </c:pt>
                <c:pt idx="9">
                  <c:v>6.173</c:v>
                </c:pt>
                <c:pt idx="10">
                  <c:v>7.3529999999999998</c:v>
                </c:pt>
                <c:pt idx="11">
                  <c:v>0.42299999999999999</c:v>
                </c:pt>
                <c:pt idx="12">
                  <c:v>4.218</c:v>
                </c:pt>
                <c:pt idx="13">
                  <c:v>4.274</c:v>
                </c:pt>
                <c:pt idx="14">
                  <c:v>2.9079999999999999</c:v>
                </c:pt>
                <c:pt idx="15">
                  <c:v>4.26</c:v>
                </c:pt>
                <c:pt idx="16">
                  <c:v>5.7190000000000003</c:v>
                </c:pt>
                <c:pt idx="17">
                  <c:v>6.08</c:v>
                </c:pt>
                <c:pt idx="18">
                  <c:v>7.7110000000000003</c:v>
                </c:pt>
                <c:pt idx="19">
                  <c:v>3.9769999999999999</c:v>
                </c:pt>
                <c:pt idx="20">
                  <c:v>4.7329999999999997</c:v>
                </c:pt>
                <c:pt idx="21">
                  <c:v>6.1260000000000003</c:v>
                </c:pt>
                <c:pt idx="22">
                  <c:v>2.0510000000000002</c:v>
                </c:pt>
                <c:pt idx="23">
                  <c:v>4.875</c:v>
                </c:pt>
                <c:pt idx="24">
                  <c:v>3.6349999999999998</c:v>
                </c:pt>
                <c:pt idx="25">
                  <c:v>1.407</c:v>
                </c:pt>
                <c:pt idx="26">
                  <c:v>0.50800000000000001</c:v>
                </c:pt>
                <c:pt idx="27">
                  <c:v>4.3780000000000001</c:v>
                </c:pt>
                <c:pt idx="28">
                  <c:v>0.156</c:v>
                </c:pt>
                <c:pt idx="29">
                  <c:v>1.2989999999999999</c:v>
                </c:pt>
                <c:pt idx="30">
                  <c:v>3.8639999999999999</c:v>
                </c:pt>
                <c:pt idx="31">
                  <c:v>1.923</c:v>
                </c:pt>
                <c:pt idx="32">
                  <c:v>0.93200000000000005</c:v>
                </c:pt>
                <c:pt idx="33">
                  <c:v>6.5940000000000003</c:v>
                </c:pt>
                <c:pt idx="34">
                  <c:v>4.0830000000000002</c:v>
                </c:pt>
                <c:pt idx="35">
                  <c:v>7.5430000000000001</c:v>
                </c:pt>
                <c:pt idx="36">
                  <c:v>2.9660000000000002</c:v>
                </c:pt>
                <c:pt idx="37">
                  <c:v>7.2830000000000004</c:v>
                </c:pt>
                <c:pt idx="38">
                  <c:v>6.5330000000000004</c:v>
                </c:pt>
                <c:pt idx="39">
                  <c:v>7.7750000000000004</c:v>
                </c:pt>
                <c:pt idx="40">
                  <c:v>0.14000000000000001</c:v>
                </c:pt>
                <c:pt idx="41">
                  <c:v>2.754</c:v>
                </c:pt>
                <c:pt idx="42">
                  <c:v>3.5910000000000002</c:v>
                </c:pt>
                <c:pt idx="43">
                  <c:v>1.5569999999999999</c:v>
                </c:pt>
                <c:pt idx="44">
                  <c:v>1.954</c:v>
                </c:pt>
                <c:pt idx="45">
                  <c:v>2.0609999999999999</c:v>
                </c:pt>
                <c:pt idx="46">
                  <c:v>3.7970000000000002</c:v>
                </c:pt>
                <c:pt idx="47">
                  <c:v>4.7789999999999999</c:v>
                </c:pt>
                <c:pt idx="48">
                  <c:v>5.6349999999999998</c:v>
                </c:pt>
                <c:pt idx="49">
                  <c:v>3.9129999999999998</c:v>
                </c:pt>
                <c:pt idx="50">
                  <c:v>6.7030000000000003</c:v>
                </c:pt>
                <c:pt idx="51">
                  <c:v>4.13</c:v>
                </c:pt>
                <c:pt idx="52">
                  <c:v>0.77100000000000002</c:v>
                </c:pt>
                <c:pt idx="53">
                  <c:v>6.0490000000000004</c:v>
                </c:pt>
                <c:pt idx="54">
                  <c:v>7.5910000000000002</c:v>
                </c:pt>
                <c:pt idx="55">
                  <c:v>2.9129999999999998</c:v>
                </c:pt>
                <c:pt idx="56">
                  <c:v>7.641</c:v>
                </c:pt>
                <c:pt idx="57">
                  <c:v>7.649</c:v>
                </c:pt>
                <c:pt idx="58">
                  <c:v>6.1980000000000004</c:v>
                </c:pt>
                <c:pt idx="59">
                  <c:v>7.468</c:v>
                </c:pt>
                <c:pt idx="60">
                  <c:v>0.376</c:v>
                </c:pt>
                <c:pt idx="61">
                  <c:v>2.4380000000000002</c:v>
                </c:pt>
                <c:pt idx="62">
                  <c:v>3.6059999999999999</c:v>
                </c:pt>
                <c:pt idx="63">
                  <c:v>4.8689999999999998</c:v>
                </c:pt>
                <c:pt idx="64">
                  <c:v>0.13</c:v>
                </c:pt>
                <c:pt idx="65">
                  <c:v>2.1419999999999999</c:v>
                </c:pt>
                <c:pt idx="66">
                  <c:v>5.4729999999999999</c:v>
                </c:pt>
                <c:pt idx="67">
                  <c:v>0.55000000000000004</c:v>
                </c:pt>
                <c:pt idx="68">
                  <c:v>1.395</c:v>
                </c:pt>
                <c:pt idx="69">
                  <c:v>3.948</c:v>
                </c:pt>
                <c:pt idx="70">
                  <c:v>3.7360000000000002</c:v>
                </c:pt>
                <c:pt idx="71">
                  <c:v>2.5179999999999998</c:v>
                </c:pt>
                <c:pt idx="72">
                  <c:v>4.633</c:v>
                </c:pt>
                <c:pt idx="73">
                  <c:v>1.629</c:v>
                </c:pt>
                <c:pt idx="74">
                  <c:v>6.9539999999999997</c:v>
                </c:pt>
                <c:pt idx="75">
                  <c:v>0.80300000000000005</c:v>
                </c:pt>
                <c:pt idx="76">
                  <c:v>6.3789999999999996</c:v>
                </c:pt>
                <c:pt idx="77">
                  <c:v>5.9850000000000003</c:v>
                </c:pt>
                <c:pt idx="78">
                  <c:v>7.4509999999999996</c:v>
                </c:pt>
                <c:pt idx="79">
                  <c:v>0.80500000000000005</c:v>
                </c:pt>
                <c:pt idx="80">
                  <c:v>7.9569999999999999</c:v>
                </c:pt>
                <c:pt idx="81">
                  <c:v>2.262</c:v>
                </c:pt>
                <c:pt idx="82">
                  <c:v>7.41</c:v>
                </c:pt>
                <c:pt idx="83">
                  <c:v>3.1970000000000001</c:v>
                </c:pt>
                <c:pt idx="84">
                  <c:v>1.982</c:v>
                </c:pt>
                <c:pt idx="85">
                  <c:v>6.2009999999999996</c:v>
                </c:pt>
                <c:pt idx="86">
                  <c:v>4.0670000000000002</c:v>
                </c:pt>
                <c:pt idx="87">
                  <c:v>1.0329999999999999</c:v>
                </c:pt>
                <c:pt idx="88">
                  <c:v>1.8029999999999999</c:v>
                </c:pt>
                <c:pt idx="89">
                  <c:v>6.3760000000000003</c:v>
                </c:pt>
                <c:pt idx="90">
                  <c:v>4.1820000000000004</c:v>
                </c:pt>
                <c:pt idx="91">
                  <c:v>2.73</c:v>
                </c:pt>
                <c:pt idx="92">
                  <c:v>5.0270000000000001</c:v>
                </c:pt>
                <c:pt idx="93">
                  <c:v>6.4710000000000001</c:v>
                </c:pt>
                <c:pt idx="94">
                  <c:v>3.919</c:v>
                </c:pt>
                <c:pt idx="95">
                  <c:v>3.5609999999999999</c:v>
                </c:pt>
                <c:pt idx="96">
                  <c:v>0.30099999999999999</c:v>
                </c:pt>
                <c:pt idx="97">
                  <c:v>7.1630000000000003</c:v>
                </c:pt>
                <c:pt idx="98">
                  <c:v>0.309</c:v>
                </c:pt>
                <c:pt idx="99">
                  <c:v>6.335</c:v>
                </c:pt>
              </c:numCache>
            </c:numRef>
          </c:xVal>
          <c:yVal>
            <c:numRef>
              <c:f>Student_Marks!$C$2:$C$101</c:f>
              <c:numCache>
                <c:formatCode>General</c:formatCode>
                <c:ptCount val="100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D-4487-8716-431C21292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183551"/>
        <c:axId val="1596169151"/>
      </c:scatterChart>
      <c:valAx>
        <c:axId val="15961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69151"/>
        <c:crosses val="autoZero"/>
        <c:crossBetween val="midCat"/>
      </c:valAx>
      <c:valAx>
        <c:axId val="15961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Pie Chart of</a:t>
            </a:r>
            <a:r>
              <a:rPr lang="en-IN" baseline="0"/>
              <a:t> Marks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22-4470-94C3-7D98D0E26F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22-4470-94C3-7D98D0E26F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22-4470-94C3-7D98D0E26F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722-4470-94C3-7D98D0E26FB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722-4470-94C3-7D98D0E26FB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722-4470-94C3-7D98D0E26FB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722-4470-94C3-7D98D0E26FB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722-4470-94C3-7D98D0E26FB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722-4470-94C3-7D98D0E26FB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722-4470-94C3-7D98D0E26FB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722-4470-94C3-7D98D0E26FB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722-4470-94C3-7D98D0E26FB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722-4470-94C3-7D98D0E26FB3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722-4470-94C3-7D98D0E26FB3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722-4470-94C3-7D98D0E26FB3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722-4470-94C3-7D98D0E26FB3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722-4470-94C3-7D98D0E26FB3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722-4470-94C3-7D98D0E26FB3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722-4470-94C3-7D98D0E26FB3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722-4470-94C3-7D98D0E26FB3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722-4470-94C3-7D98D0E26FB3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722-4470-94C3-7D98D0E26FB3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722-4470-94C3-7D98D0E26FB3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722-4470-94C3-7D98D0E26FB3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722-4470-94C3-7D98D0E26FB3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722-4470-94C3-7D98D0E26FB3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722-4470-94C3-7D98D0E26FB3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722-4470-94C3-7D98D0E26FB3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722-4470-94C3-7D98D0E26FB3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722-4470-94C3-7D98D0E26FB3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722-4470-94C3-7D98D0E26FB3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722-4470-94C3-7D98D0E26FB3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722-4470-94C3-7D98D0E26FB3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722-4470-94C3-7D98D0E26FB3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722-4470-94C3-7D98D0E26FB3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722-4470-94C3-7D98D0E26FB3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722-4470-94C3-7D98D0E26FB3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722-4470-94C3-7D98D0E26FB3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722-4470-94C3-7D98D0E26FB3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722-4470-94C3-7D98D0E26FB3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722-4470-94C3-7D98D0E26FB3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722-4470-94C3-7D98D0E26FB3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722-4470-94C3-7D98D0E26FB3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722-4470-94C3-7D98D0E26FB3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722-4470-94C3-7D98D0E26FB3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722-4470-94C3-7D98D0E26FB3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722-4470-94C3-7D98D0E26FB3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722-4470-94C3-7D98D0E26FB3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722-4470-94C3-7D98D0E26FB3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722-4470-94C3-7D98D0E26FB3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722-4470-94C3-7D98D0E26FB3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722-4470-94C3-7D98D0E26FB3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D722-4470-94C3-7D98D0E26FB3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D722-4470-94C3-7D98D0E26FB3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D722-4470-94C3-7D98D0E26FB3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D722-4470-94C3-7D98D0E26FB3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D722-4470-94C3-7D98D0E26FB3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D722-4470-94C3-7D98D0E26FB3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D722-4470-94C3-7D98D0E26FB3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D722-4470-94C3-7D98D0E26FB3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D722-4470-94C3-7D98D0E26FB3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D722-4470-94C3-7D98D0E26FB3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D722-4470-94C3-7D98D0E26FB3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D722-4470-94C3-7D98D0E26FB3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D722-4470-94C3-7D98D0E26FB3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D722-4470-94C3-7D98D0E26FB3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D722-4470-94C3-7D98D0E26FB3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D722-4470-94C3-7D98D0E26FB3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D722-4470-94C3-7D98D0E26FB3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D722-4470-94C3-7D98D0E26FB3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D722-4470-94C3-7D98D0E26FB3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D722-4470-94C3-7D98D0E26FB3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D722-4470-94C3-7D98D0E26FB3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D722-4470-94C3-7D98D0E26FB3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D722-4470-94C3-7D98D0E26FB3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D722-4470-94C3-7D98D0E26FB3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D722-4470-94C3-7D98D0E26FB3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D722-4470-94C3-7D98D0E26FB3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D722-4470-94C3-7D98D0E26FB3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D722-4470-94C3-7D98D0E26FB3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D722-4470-94C3-7D98D0E26FB3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D722-4470-94C3-7D98D0E26FB3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D722-4470-94C3-7D98D0E26FB3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D722-4470-94C3-7D98D0E26FB3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D722-4470-94C3-7D98D0E26FB3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D722-4470-94C3-7D98D0E26FB3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D722-4470-94C3-7D98D0E26FB3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D722-4470-94C3-7D98D0E26FB3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D722-4470-94C3-7D98D0E26FB3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D722-4470-94C3-7D98D0E26FB3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D722-4470-94C3-7D98D0E26FB3}"/>
              </c:ext>
            </c:extLst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D722-4470-94C3-7D98D0E26FB3}"/>
              </c:ext>
            </c:extLst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D722-4470-94C3-7D98D0E26FB3}"/>
              </c:ext>
            </c:extLst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D722-4470-94C3-7D98D0E26FB3}"/>
              </c:ext>
            </c:extLst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D722-4470-94C3-7D98D0E26FB3}"/>
              </c:ext>
            </c:extLst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D722-4470-94C3-7D98D0E26FB3}"/>
              </c:ext>
            </c:extLst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D722-4470-94C3-7D98D0E26FB3}"/>
              </c:ext>
            </c:extLst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D722-4470-94C3-7D98D0E26FB3}"/>
              </c:ext>
            </c:extLst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D722-4470-94C3-7D98D0E26FB3}"/>
              </c:ext>
            </c:extLst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D722-4470-94C3-7D98D0E26FB3}"/>
              </c:ext>
            </c:extLst>
          </c:dPt>
          <c:val>
            <c:numRef>
              <c:f>Student_Marks!$C$2:$C$101</c:f>
              <c:numCache>
                <c:formatCode>General</c:formatCode>
                <c:ptCount val="100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6-4292-9712-DC01CA5C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1981199</xdr:colOff>
      <xdr:row>1</xdr:row>
      <xdr:rowOff>9525</xdr:rowOff>
    </xdr:from>
    <xdr:to>
      <xdr:col>14</xdr:col>
      <xdr:colOff>542924</xdr:colOff>
      <xdr:row>15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567D8-6A01-EB01-4032-6CA2111BE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9526</xdr:rowOff>
    </xdr:from>
    <xdr:to>
      <xdr:col>14</xdr:col>
      <xdr:colOff>495300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F970C7-3FEA-A9B1-6D37-2A1DC773C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BB5C-0AC1-4A2E-8688-A3F7D51ED89D}">
  <dimension ref="B1:D15"/>
  <sheetViews>
    <sheetView workbookViewId="0">
      <selection activeCell="B2" sqref="B2"/>
    </sheetView>
  </sheetViews>
  <sheetFormatPr defaultRowHeight="15" x14ac:dyDescent="0.25"/>
  <cols>
    <col min="3" max="3" width="12.7109375" bestFit="1" customWidth="1"/>
    <col min="4" max="4" width="18.140625" bestFit="1" customWidth="1"/>
  </cols>
  <sheetData>
    <row r="1" spans="2:4" x14ac:dyDescent="0.25">
      <c r="B1" s="3" t="s">
        <v>12</v>
      </c>
      <c r="C1" s="3"/>
      <c r="D1" s="3" t="s">
        <v>26</v>
      </c>
    </row>
    <row r="3" spans="2:4" x14ac:dyDescent="0.25">
      <c r="B3" t="s">
        <v>13</v>
      </c>
      <c r="C3">
        <v>24.417689999999993</v>
      </c>
      <c r="D3" t="s">
        <v>13</v>
      </c>
    </row>
    <row r="4" spans="2:4" x14ac:dyDescent="0.25">
      <c r="B4" t="s">
        <v>14</v>
      </c>
      <c r="C4">
        <v>1.4326198570758013</v>
      </c>
      <c r="D4" t="s">
        <v>14</v>
      </c>
    </row>
    <row r="5" spans="2:4" x14ac:dyDescent="0.25">
      <c r="B5" t="s">
        <v>15</v>
      </c>
      <c r="C5">
        <v>20.0595</v>
      </c>
      <c r="D5" t="s">
        <v>15</v>
      </c>
    </row>
    <row r="6" spans="2:4" x14ac:dyDescent="0.25">
      <c r="B6" t="s">
        <v>16</v>
      </c>
      <c r="C6" t="e">
        <v>#N/A</v>
      </c>
      <c r="D6" t="s">
        <v>16</v>
      </c>
    </row>
    <row r="7" spans="2:4" x14ac:dyDescent="0.25">
      <c r="B7" t="s">
        <v>17</v>
      </c>
      <c r="C7">
        <v>14.326198570758013</v>
      </c>
      <c r="D7" t="s">
        <v>17</v>
      </c>
    </row>
    <row r="8" spans="2:4" x14ac:dyDescent="0.25">
      <c r="B8" t="s">
        <v>18</v>
      </c>
      <c r="C8">
        <v>205.23996548878893</v>
      </c>
      <c r="D8" t="s">
        <v>18</v>
      </c>
    </row>
    <row r="9" spans="2:4" x14ac:dyDescent="0.25">
      <c r="B9" t="s">
        <v>19</v>
      </c>
      <c r="C9">
        <v>-0.71991118688812827</v>
      </c>
      <c r="D9" t="s">
        <v>19</v>
      </c>
    </row>
    <row r="10" spans="2:4" x14ac:dyDescent="0.25">
      <c r="B10" t="s">
        <v>20</v>
      </c>
      <c r="C10">
        <v>0.65823659550824121</v>
      </c>
      <c r="D10" t="s">
        <v>20</v>
      </c>
    </row>
    <row r="11" spans="2:4" x14ac:dyDescent="0.25">
      <c r="B11" t="s">
        <v>21</v>
      </c>
      <c r="C11">
        <v>49.69</v>
      </c>
      <c r="D11" t="s">
        <v>21</v>
      </c>
    </row>
    <row r="12" spans="2:4" x14ac:dyDescent="0.25">
      <c r="B12" t="s">
        <v>22</v>
      </c>
      <c r="C12">
        <v>5.609</v>
      </c>
      <c r="D12" t="s">
        <v>22</v>
      </c>
    </row>
    <row r="13" spans="2:4" x14ac:dyDescent="0.25">
      <c r="B13" t="s">
        <v>23</v>
      </c>
      <c r="C13">
        <v>55.298999999999999</v>
      </c>
      <c r="D13" t="s">
        <v>23</v>
      </c>
    </row>
    <row r="14" spans="2:4" x14ac:dyDescent="0.25">
      <c r="B14" t="s">
        <v>24</v>
      </c>
      <c r="C14">
        <v>2441.7689999999993</v>
      </c>
      <c r="D14" t="s">
        <v>24</v>
      </c>
    </row>
    <row r="15" spans="2:4" ht="15.75" thickBot="1" x14ac:dyDescent="0.3">
      <c r="B15" s="1" t="s">
        <v>25</v>
      </c>
      <c r="C15" s="1">
        <v>100</v>
      </c>
      <c r="D15" s="1" t="s">
        <v>25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5A0B-6E3A-4776-BE37-3B902986E9A0}">
  <dimension ref="A1:I18"/>
  <sheetViews>
    <sheetView workbookViewId="0">
      <selection activeCell="F19" sqref="F19"/>
    </sheetView>
  </sheetViews>
  <sheetFormatPr defaultRowHeight="15" x14ac:dyDescent="0.25"/>
  <cols>
    <col min="1" max="1" width="18" bestFit="1" customWidth="1"/>
    <col min="2" max="2" width="12" bestFit="1" customWidth="1"/>
    <col min="3" max="3" width="13.7109375" bestFit="1" customWidth="1"/>
    <col min="4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27</v>
      </c>
    </row>
    <row r="2" spans="1:9" ht="15.75" thickBot="1" x14ac:dyDescent="0.3"/>
    <row r="3" spans="1:9" x14ac:dyDescent="0.25">
      <c r="A3" s="3" t="s">
        <v>28</v>
      </c>
      <c r="B3" s="3"/>
    </row>
    <row r="4" spans="1:9" x14ac:dyDescent="0.25">
      <c r="A4" t="s">
        <v>29</v>
      </c>
      <c r="B4">
        <v>0.94225389036405416</v>
      </c>
    </row>
    <row r="5" spans="1:9" x14ac:dyDescent="0.25">
      <c r="A5" t="s">
        <v>30</v>
      </c>
      <c r="B5">
        <v>0.88784239390619502</v>
      </c>
    </row>
    <row r="6" spans="1:9" x14ac:dyDescent="0.25">
      <c r="A6" t="s">
        <v>31</v>
      </c>
      <c r="B6">
        <v>0.88669792853789087</v>
      </c>
    </row>
    <row r="7" spans="1:9" x14ac:dyDescent="0.25">
      <c r="A7" t="s">
        <v>14</v>
      </c>
      <c r="B7">
        <v>4.8222518844095505</v>
      </c>
    </row>
    <row r="8" spans="1:9" ht="15.75" thickBot="1" x14ac:dyDescent="0.3">
      <c r="A8" s="1" t="s">
        <v>32</v>
      </c>
      <c r="B8" s="1">
        <v>100</v>
      </c>
    </row>
    <row r="10" spans="1:9" ht="15.75" thickBot="1" x14ac:dyDescent="0.3">
      <c r="A10" t="s">
        <v>33</v>
      </c>
    </row>
    <row r="11" spans="1:9" x14ac:dyDescent="0.25">
      <c r="A11" s="2"/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</row>
    <row r="12" spans="1:9" x14ac:dyDescent="0.25">
      <c r="A12" t="s">
        <v>34</v>
      </c>
      <c r="B12">
        <v>1</v>
      </c>
      <c r="C12">
        <v>18039.853486194239</v>
      </c>
      <c r="D12">
        <v>18039.853486194239</v>
      </c>
      <c r="E12">
        <v>775.77043263598159</v>
      </c>
      <c r="F12">
        <v>2.355657179843953E-48</v>
      </c>
    </row>
    <row r="13" spans="1:9" x14ac:dyDescent="0.25">
      <c r="A13" t="s">
        <v>35</v>
      </c>
      <c r="B13">
        <v>98</v>
      </c>
      <c r="C13">
        <v>2278.9030971957632</v>
      </c>
      <c r="D13">
        <v>23.25411323669146</v>
      </c>
    </row>
    <row r="14" spans="1:9" ht="15.75" thickBot="1" x14ac:dyDescent="0.3">
      <c r="A14" s="1" t="s">
        <v>36</v>
      </c>
      <c r="B14" s="1">
        <v>99</v>
      </c>
      <c r="C14" s="1">
        <v>20318.756583390001</v>
      </c>
      <c r="D14" s="1"/>
      <c r="E14" s="1"/>
      <c r="F14" s="1"/>
    </row>
    <row r="16" spans="1:9" x14ac:dyDescent="0.25">
      <c r="B16" t="s">
        <v>43</v>
      </c>
      <c r="C16" t="s">
        <v>14</v>
      </c>
      <c r="D16" t="s">
        <v>44</v>
      </c>
      <c r="E16" t="s">
        <v>45</v>
      </c>
      <c r="F16" t="s">
        <v>46</v>
      </c>
      <c r="G16" t="s">
        <v>47</v>
      </c>
      <c r="H16" t="s">
        <v>48</v>
      </c>
      <c r="I16" t="s">
        <v>49</v>
      </c>
    </row>
    <row r="17" spans="1:9" x14ac:dyDescent="0.25">
      <c r="A17" t="s">
        <v>37</v>
      </c>
      <c r="B17">
        <v>1.2238581075029629</v>
      </c>
      <c r="C17">
        <v>0.96228153822070917</v>
      </c>
      <c r="D17">
        <v>1.271829562235931</v>
      </c>
      <c r="E17">
        <v>0.2064435659500711</v>
      </c>
      <c r="F17">
        <v>-0.68575828717039133</v>
      </c>
      <c r="G17">
        <v>3.1334745021763171</v>
      </c>
      <c r="H17">
        <v>-0.68575828717039133</v>
      </c>
      <c r="I17">
        <v>3.1334745021763171</v>
      </c>
    </row>
    <row r="18" spans="1:9" x14ac:dyDescent="0.25">
      <c r="A18" t="s">
        <v>50</v>
      </c>
      <c r="B18">
        <v>5.6887504212504432</v>
      </c>
      <c r="C18">
        <v>0.20424445234890229</v>
      </c>
      <c r="D18">
        <v>27.852655755528616</v>
      </c>
      <c r="E18">
        <v>2.355657179843953E-48</v>
      </c>
      <c r="F18">
        <v>5.2834339528001388</v>
      </c>
      <c r="G18">
        <v>6.0940668897007475</v>
      </c>
      <c r="H18">
        <v>5.2834339528001388</v>
      </c>
      <c r="I18">
        <v>6.0940668897007475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A5F8-7B6D-4F37-B59A-D7BDC9E779DC}">
  <dimension ref="A1:D110"/>
  <sheetViews>
    <sheetView tabSelected="1" workbookViewId="0">
      <selection activeCell="D12" sqref="D12"/>
    </sheetView>
  </sheetViews>
  <sheetFormatPr defaultRowHeight="15" x14ac:dyDescent="0.25"/>
  <cols>
    <col min="1" max="1" width="15.85546875" bestFit="1" customWidth="1"/>
    <col min="2" max="2" width="12" bestFit="1" customWidth="1"/>
    <col min="4" max="4" width="2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>
        <v>4.508</v>
      </c>
      <c r="C2">
        <v>19.202000000000002</v>
      </c>
    </row>
    <row r="3" spans="1:3" x14ac:dyDescent="0.25">
      <c r="A3">
        <v>4</v>
      </c>
      <c r="B3">
        <v>9.6000000000000002E-2</v>
      </c>
      <c r="C3">
        <v>7.734</v>
      </c>
    </row>
    <row r="4" spans="1:3" x14ac:dyDescent="0.25">
      <c r="A4">
        <v>4</v>
      </c>
      <c r="B4">
        <v>3.133</v>
      </c>
      <c r="C4">
        <v>13.811</v>
      </c>
    </row>
    <row r="5" spans="1:3" x14ac:dyDescent="0.25">
      <c r="A5">
        <v>6</v>
      </c>
      <c r="B5">
        <v>7.9089999999999998</v>
      </c>
      <c r="C5">
        <v>53.018000000000001</v>
      </c>
    </row>
    <row r="6" spans="1:3" x14ac:dyDescent="0.25">
      <c r="A6">
        <v>8</v>
      </c>
      <c r="B6">
        <v>7.8109999999999999</v>
      </c>
      <c r="C6">
        <v>55.298999999999999</v>
      </c>
    </row>
    <row r="7" spans="1:3" x14ac:dyDescent="0.25">
      <c r="A7">
        <v>6</v>
      </c>
      <c r="B7">
        <v>3.2109999999999999</v>
      </c>
      <c r="C7">
        <v>17.821999999999999</v>
      </c>
    </row>
    <row r="8" spans="1:3" x14ac:dyDescent="0.25">
      <c r="A8">
        <v>3</v>
      </c>
      <c r="B8">
        <v>6.0629999999999997</v>
      </c>
      <c r="C8">
        <v>29.888999999999999</v>
      </c>
    </row>
    <row r="9" spans="1:3" x14ac:dyDescent="0.25">
      <c r="A9">
        <v>5</v>
      </c>
      <c r="B9">
        <v>3.4129999999999998</v>
      </c>
      <c r="C9">
        <v>17.263999999999999</v>
      </c>
    </row>
    <row r="10" spans="1:3" x14ac:dyDescent="0.25">
      <c r="A10">
        <v>4</v>
      </c>
      <c r="B10">
        <v>4.41</v>
      </c>
      <c r="C10">
        <v>20.347999999999999</v>
      </c>
    </row>
    <row r="11" spans="1:3" x14ac:dyDescent="0.25">
      <c r="A11">
        <v>3</v>
      </c>
      <c r="B11">
        <v>6.173</v>
      </c>
      <c r="C11">
        <v>30.861999999999998</v>
      </c>
    </row>
    <row r="12" spans="1:3" x14ac:dyDescent="0.25">
      <c r="A12">
        <v>3</v>
      </c>
      <c r="B12">
        <v>7.3529999999999998</v>
      </c>
      <c r="C12">
        <v>42.036000000000001</v>
      </c>
    </row>
    <row r="13" spans="1:3" x14ac:dyDescent="0.25">
      <c r="A13">
        <v>7</v>
      </c>
      <c r="B13">
        <v>0.42299999999999999</v>
      </c>
      <c r="C13">
        <v>12.132</v>
      </c>
    </row>
    <row r="14" spans="1:3" x14ac:dyDescent="0.25">
      <c r="A14">
        <v>7</v>
      </c>
      <c r="B14">
        <v>4.218</v>
      </c>
      <c r="C14">
        <v>24.318000000000001</v>
      </c>
    </row>
    <row r="15" spans="1:3" x14ac:dyDescent="0.25">
      <c r="A15">
        <v>3</v>
      </c>
      <c r="B15">
        <v>4.274</v>
      </c>
      <c r="C15">
        <v>17.672000000000001</v>
      </c>
    </row>
    <row r="16" spans="1:3" x14ac:dyDescent="0.25">
      <c r="A16">
        <v>3</v>
      </c>
      <c r="B16">
        <v>2.9079999999999999</v>
      </c>
      <c r="C16">
        <v>11.397</v>
      </c>
    </row>
    <row r="17" spans="1:3" x14ac:dyDescent="0.25">
      <c r="A17">
        <v>4</v>
      </c>
      <c r="B17">
        <v>4.26</v>
      </c>
      <c r="C17">
        <v>19.466000000000001</v>
      </c>
    </row>
    <row r="18" spans="1:3" x14ac:dyDescent="0.25">
      <c r="A18">
        <v>5</v>
      </c>
      <c r="B18">
        <v>5.7190000000000003</v>
      </c>
      <c r="C18">
        <v>30.547999999999998</v>
      </c>
    </row>
    <row r="19" spans="1:3" x14ac:dyDescent="0.25">
      <c r="A19">
        <v>8</v>
      </c>
      <c r="B19">
        <v>6.08</v>
      </c>
      <c r="C19">
        <v>38.49</v>
      </c>
    </row>
    <row r="20" spans="1:3" x14ac:dyDescent="0.25">
      <c r="A20">
        <v>6</v>
      </c>
      <c r="B20">
        <v>7.7110000000000003</v>
      </c>
      <c r="C20">
        <v>50.985999999999997</v>
      </c>
    </row>
    <row r="21" spans="1:3" x14ac:dyDescent="0.25">
      <c r="A21">
        <v>8</v>
      </c>
      <c r="B21">
        <v>3.9769999999999999</v>
      </c>
      <c r="C21">
        <v>25.132999999999999</v>
      </c>
    </row>
    <row r="22" spans="1:3" x14ac:dyDescent="0.25">
      <c r="A22">
        <v>4</v>
      </c>
      <c r="B22">
        <v>4.7329999999999997</v>
      </c>
      <c r="C22">
        <v>22.073</v>
      </c>
    </row>
    <row r="23" spans="1:3" x14ac:dyDescent="0.25">
      <c r="A23">
        <v>6</v>
      </c>
      <c r="B23">
        <v>6.1260000000000003</v>
      </c>
      <c r="C23">
        <v>35.939</v>
      </c>
    </row>
    <row r="24" spans="1:3" x14ac:dyDescent="0.25">
      <c r="A24">
        <v>5</v>
      </c>
      <c r="B24">
        <v>2.0510000000000002</v>
      </c>
      <c r="C24">
        <v>12.209</v>
      </c>
    </row>
    <row r="25" spans="1:3" x14ac:dyDescent="0.25">
      <c r="A25">
        <v>7</v>
      </c>
      <c r="B25">
        <v>4.875</v>
      </c>
      <c r="C25">
        <v>28.042999999999999</v>
      </c>
    </row>
    <row r="26" spans="1:3" x14ac:dyDescent="0.25">
      <c r="A26">
        <v>4</v>
      </c>
      <c r="B26">
        <v>3.6349999999999998</v>
      </c>
      <c r="C26">
        <v>16.516999999999999</v>
      </c>
    </row>
    <row r="27" spans="1:3" x14ac:dyDescent="0.25">
      <c r="A27">
        <v>3</v>
      </c>
      <c r="B27">
        <v>1.407</v>
      </c>
      <c r="C27">
        <v>6.6230000000000002</v>
      </c>
    </row>
    <row r="28" spans="1:3" x14ac:dyDescent="0.25">
      <c r="A28">
        <v>7</v>
      </c>
      <c r="B28">
        <v>0.50800000000000001</v>
      </c>
      <c r="C28">
        <v>12.647</v>
      </c>
    </row>
    <row r="29" spans="1:3" x14ac:dyDescent="0.25">
      <c r="A29">
        <v>8</v>
      </c>
      <c r="B29">
        <v>4.3780000000000001</v>
      </c>
      <c r="C29">
        <v>26.532</v>
      </c>
    </row>
    <row r="30" spans="1:3" x14ac:dyDescent="0.25">
      <c r="A30">
        <v>5</v>
      </c>
      <c r="B30">
        <v>0.156</v>
      </c>
      <c r="C30">
        <v>9.3330000000000002</v>
      </c>
    </row>
    <row r="31" spans="1:3" x14ac:dyDescent="0.25">
      <c r="A31">
        <v>4</v>
      </c>
      <c r="B31">
        <v>1.2989999999999999</v>
      </c>
      <c r="C31">
        <v>8.8369999999999997</v>
      </c>
    </row>
    <row r="32" spans="1:3" x14ac:dyDescent="0.25">
      <c r="A32">
        <v>8</v>
      </c>
      <c r="B32">
        <v>3.8639999999999999</v>
      </c>
      <c r="C32">
        <v>24.172000000000001</v>
      </c>
    </row>
    <row r="33" spans="1:3" x14ac:dyDescent="0.25">
      <c r="A33">
        <v>3</v>
      </c>
      <c r="B33">
        <v>1.923</v>
      </c>
      <c r="C33">
        <v>8.1</v>
      </c>
    </row>
    <row r="34" spans="1:3" x14ac:dyDescent="0.25">
      <c r="A34">
        <v>8</v>
      </c>
      <c r="B34">
        <v>0.93200000000000005</v>
      </c>
      <c r="C34">
        <v>15.038</v>
      </c>
    </row>
    <row r="35" spans="1:3" x14ac:dyDescent="0.25">
      <c r="A35">
        <v>6</v>
      </c>
      <c r="B35">
        <v>6.5940000000000003</v>
      </c>
      <c r="C35">
        <v>39.965000000000003</v>
      </c>
    </row>
    <row r="36" spans="1:3" x14ac:dyDescent="0.25">
      <c r="A36">
        <v>3</v>
      </c>
      <c r="B36">
        <v>4.0830000000000002</v>
      </c>
      <c r="C36">
        <v>17.170999999999999</v>
      </c>
    </row>
    <row r="37" spans="1:3" x14ac:dyDescent="0.25">
      <c r="A37">
        <v>3</v>
      </c>
      <c r="B37">
        <v>7.5430000000000001</v>
      </c>
      <c r="C37">
        <v>43.978000000000002</v>
      </c>
    </row>
    <row r="38" spans="1:3" x14ac:dyDescent="0.25">
      <c r="A38">
        <v>4</v>
      </c>
      <c r="B38">
        <v>2.9660000000000002</v>
      </c>
      <c r="C38">
        <v>13.119</v>
      </c>
    </row>
    <row r="39" spans="1:3" x14ac:dyDescent="0.25">
      <c r="A39">
        <v>6</v>
      </c>
      <c r="B39">
        <v>7.2830000000000004</v>
      </c>
      <c r="C39">
        <v>46.453000000000003</v>
      </c>
    </row>
    <row r="40" spans="1:3" x14ac:dyDescent="0.25">
      <c r="A40">
        <v>7</v>
      </c>
      <c r="B40">
        <v>6.5330000000000004</v>
      </c>
      <c r="C40">
        <v>41.357999999999997</v>
      </c>
    </row>
    <row r="41" spans="1:3" x14ac:dyDescent="0.25">
      <c r="A41">
        <v>6</v>
      </c>
      <c r="B41">
        <v>7.7750000000000004</v>
      </c>
      <c r="C41">
        <v>51.142000000000003</v>
      </c>
    </row>
    <row r="42" spans="1:3" x14ac:dyDescent="0.25">
      <c r="A42">
        <v>4</v>
      </c>
      <c r="B42">
        <v>0.14000000000000001</v>
      </c>
      <c r="C42">
        <v>7.3360000000000003</v>
      </c>
    </row>
    <row r="43" spans="1:3" x14ac:dyDescent="0.25">
      <c r="A43">
        <v>6</v>
      </c>
      <c r="B43">
        <v>2.754</v>
      </c>
      <c r="C43">
        <v>15.725</v>
      </c>
    </row>
    <row r="44" spans="1:3" x14ac:dyDescent="0.25">
      <c r="A44">
        <v>6</v>
      </c>
      <c r="B44">
        <v>3.5910000000000002</v>
      </c>
      <c r="C44">
        <v>19.771000000000001</v>
      </c>
    </row>
    <row r="45" spans="1:3" x14ac:dyDescent="0.25">
      <c r="A45">
        <v>5</v>
      </c>
      <c r="B45">
        <v>1.5569999999999999</v>
      </c>
      <c r="C45">
        <v>10.429</v>
      </c>
    </row>
    <row r="46" spans="1:3" x14ac:dyDescent="0.25">
      <c r="A46">
        <v>4</v>
      </c>
      <c r="B46">
        <v>1.954</v>
      </c>
      <c r="C46">
        <v>9.7420000000000009</v>
      </c>
    </row>
    <row r="47" spans="1:3" x14ac:dyDescent="0.25">
      <c r="A47">
        <v>3</v>
      </c>
      <c r="B47">
        <v>2.0609999999999999</v>
      </c>
      <c r="C47">
        <v>8.9239999999999995</v>
      </c>
    </row>
    <row r="48" spans="1:3" x14ac:dyDescent="0.25">
      <c r="A48">
        <v>4</v>
      </c>
      <c r="B48">
        <v>3.7970000000000002</v>
      </c>
      <c r="C48">
        <v>16.702999999999999</v>
      </c>
    </row>
    <row r="49" spans="1:3" x14ac:dyDescent="0.25">
      <c r="A49">
        <v>4</v>
      </c>
      <c r="B49">
        <v>4.7789999999999999</v>
      </c>
      <c r="C49">
        <v>22.701000000000001</v>
      </c>
    </row>
    <row r="50" spans="1:3" x14ac:dyDescent="0.25">
      <c r="A50">
        <v>3</v>
      </c>
      <c r="B50">
        <v>5.6349999999999998</v>
      </c>
      <c r="C50">
        <v>26.882000000000001</v>
      </c>
    </row>
    <row r="51" spans="1:3" x14ac:dyDescent="0.25">
      <c r="A51">
        <v>5</v>
      </c>
      <c r="B51">
        <v>3.9129999999999998</v>
      </c>
      <c r="C51">
        <v>19.106000000000002</v>
      </c>
    </row>
    <row r="52" spans="1:3" x14ac:dyDescent="0.25">
      <c r="A52">
        <v>6</v>
      </c>
      <c r="B52">
        <v>6.7030000000000003</v>
      </c>
      <c r="C52">
        <v>40.601999999999997</v>
      </c>
    </row>
    <row r="53" spans="1:3" x14ac:dyDescent="0.25">
      <c r="A53">
        <v>6</v>
      </c>
      <c r="B53">
        <v>4.13</v>
      </c>
      <c r="C53">
        <v>22.184000000000001</v>
      </c>
    </row>
    <row r="54" spans="1:3" x14ac:dyDescent="0.25">
      <c r="A54">
        <v>4</v>
      </c>
      <c r="B54">
        <v>0.77100000000000002</v>
      </c>
      <c r="C54">
        <v>7.8920000000000003</v>
      </c>
    </row>
    <row r="55" spans="1:3" x14ac:dyDescent="0.25">
      <c r="A55">
        <v>7</v>
      </c>
      <c r="B55">
        <v>6.0490000000000004</v>
      </c>
      <c r="C55">
        <v>36.652999999999999</v>
      </c>
    </row>
    <row r="56" spans="1:3" x14ac:dyDescent="0.25">
      <c r="A56">
        <v>8</v>
      </c>
      <c r="B56">
        <v>7.5910000000000002</v>
      </c>
      <c r="C56">
        <v>53.158000000000001</v>
      </c>
    </row>
    <row r="57" spans="1:3" x14ac:dyDescent="0.25">
      <c r="A57">
        <v>7</v>
      </c>
      <c r="B57">
        <v>2.9129999999999998</v>
      </c>
      <c r="C57">
        <v>18.238</v>
      </c>
    </row>
    <row r="58" spans="1:3" x14ac:dyDescent="0.25">
      <c r="A58">
        <v>8</v>
      </c>
      <c r="B58">
        <v>7.641</v>
      </c>
      <c r="C58">
        <v>53.359000000000002</v>
      </c>
    </row>
    <row r="59" spans="1:3" x14ac:dyDescent="0.25">
      <c r="A59">
        <v>7</v>
      </c>
      <c r="B59">
        <v>7.649</v>
      </c>
      <c r="C59">
        <v>51.582999999999998</v>
      </c>
    </row>
    <row r="60" spans="1:3" x14ac:dyDescent="0.25">
      <c r="A60">
        <v>3</v>
      </c>
      <c r="B60">
        <v>6.1980000000000004</v>
      </c>
      <c r="C60">
        <v>31.236000000000001</v>
      </c>
    </row>
    <row r="61" spans="1:3" x14ac:dyDescent="0.25">
      <c r="A61">
        <v>8</v>
      </c>
      <c r="B61">
        <v>7.468</v>
      </c>
      <c r="C61">
        <v>51.343000000000004</v>
      </c>
    </row>
    <row r="62" spans="1:3" x14ac:dyDescent="0.25">
      <c r="A62">
        <v>6</v>
      </c>
      <c r="B62">
        <v>0.376</v>
      </c>
      <c r="C62">
        <v>10.522</v>
      </c>
    </row>
    <row r="63" spans="1:3" x14ac:dyDescent="0.25">
      <c r="A63">
        <v>4</v>
      </c>
      <c r="B63">
        <v>2.4380000000000002</v>
      </c>
      <c r="C63">
        <v>10.843999999999999</v>
      </c>
    </row>
    <row r="64" spans="1:3" x14ac:dyDescent="0.25">
      <c r="A64">
        <v>6</v>
      </c>
      <c r="B64">
        <v>3.6059999999999999</v>
      </c>
      <c r="C64">
        <v>19.59</v>
      </c>
    </row>
    <row r="65" spans="1:3" x14ac:dyDescent="0.25">
      <c r="A65">
        <v>3</v>
      </c>
      <c r="B65">
        <v>4.8689999999999998</v>
      </c>
      <c r="C65">
        <v>21.379000000000001</v>
      </c>
    </row>
    <row r="66" spans="1:3" x14ac:dyDescent="0.25">
      <c r="A66">
        <v>7</v>
      </c>
      <c r="B66">
        <v>0.13</v>
      </c>
      <c r="C66">
        <v>12.590999999999999</v>
      </c>
    </row>
    <row r="67" spans="1:3" x14ac:dyDescent="0.25">
      <c r="A67">
        <v>6</v>
      </c>
      <c r="B67">
        <v>2.1419999999999999</v>
      </c>
      <c r="C67">
        <v>13.561999999999999</v>
      </c>
    </row>
    <row r="68" spans="1:3" x14ac:dyDescent="0.25">
      <c r="A68">
        <v>4</v>
      </c>
      <c r="B68">
        <v>5.4729999999999999</v>
      </c>
      <c r="C68">
        <v>27.568999999999999</v>
      </c>
    </row>
    <row r="69" spans="1:3" x14ac:dyDescent="0.25">
      <c r="A69">
        <v>3</v>
      </c>
      <c r="B69">
        <v>0.55000000000000004</v>
      </c>
      <c r="C69">
        <v>6.1849999999999996</v>
      </c>
    </row>
    <row r="70" spans="1:3" x14ac:dyDescent="0.25">
      <c r="A70">
        <v>4</v>
      </c>
      <c r="B70">
        <v>1.395</v>
      </c>
      <c r="C70">
        <v>8.92</v>
      </c>
    </row>
    <row r="71" spans="1:3" x14ac:dyDescent="0.25">
      <c r="A71">
        <v>6</v>
      </c>
      <c r="B71">
        <v>3.948</v>
      </c>
      <c r="C71">
        <v>21.4</v>
      </c>
    </row>
    <row r="72" spans="1:3" x14ac:dyDescent="0.25">
      <c r="A72">
        <v>4</v>
      </c>
      <c r="B72">
        <v>3.7360000000000002</v>
      </c>
      <c r="C72">
        <v>16.606000000000002</v>
      </c>
    </row>
    <row r="73" spans="1:3" x14ac:dyDescent="0.25">
      <c r="A73">
        <v>5</v>
      </c>
      <c r="B73">
        <v>2.5179999999999998</v>
      </c>
      <c r="C73">
        <v>13.416</v>
      </c>
    </row>
    <row r="74" spans="1:3" x14ac:dyDescent="0.25">
      <c r="A74">
        <v>3</v>
      </c>
      <c r="B74">
        <v>4.633</v>
      </c>
      <c r="C74">
        <v>20.398</v>
      </c>
    </row>
    <row r="75" spans="1:3" x14ac:dyDescent="0.25">
      <c r="A75">
        <v>3</v>
      </c>
      <c r="B75">
        <v>1.629</v>
      </c>
      <c r="C75">
        <v>7.0140000000000002</v>
      </c>
    </row>
    <row r="76" spans="1:3" x14ac:dyDescent="0.25">
      <c r="A76">
        <v>4</v>
      </c>
      <c r="B76">
        <v>6.9539999999999997</v>
      </c>
      <c r="C76">
        <v>39.951999999999998</v>
      </c>
    </row>
    <row r="77" spans="1:3" x14ac:dyDescent="0.25">
      <c r="A77">
        <v>3</v>
      </c>
      <c r="B77">
        <v>0.80300000000000005</v>
      </c>
      <c r="C77">
        <v>6.2169999999999996</v>
      </c>
    </row>
    <row r="78" spans="1:3" x14ac:dyDescent="0.25">
      <c r="A78">
        <v>5</v>
      </c>
      <c r="B78">
        <v>6.3789999999999996</v>
      </c>
      <c r="C78">
        <v>36.746000000000002</v>
      </c>
    </row>
    <row r="79" spans="1:3" x14ac:dyDescent="0.25">
      <c r="A79">
        <v>8</v>
      </c>
      <c r="B79">
        <v>5.9850000000000003</v>
      </c>
      <c r="C79">
        <v>38.277999999999999</v>
      </c>
    </row>
    <row r="80" spans="1:3" x14ac:dyDescent="0.25">
      <c r="A80">
        <v>7</v>
      </c>
      <c r="B80">
        <v>7.4509999999999996</v>
      </c>
      <c r="C80">
        <v>49.543999999999997</v>
      </c>
    </row>
    <row r="81" spans="1:3" x14ac:dyDescent="0.25">
      <c r="A81">
        <v>3</v>
      </c>
      <c r="B81">
        <v>0.80500000000000005</v>
      </c>
      <c r="C81">
        <v>6.3490000000000002</v>
      </c>
    </row>
    <row r="82" spans="1:3" x14ac:dyDescent="0.25">
      <c r="A82">
        <v>7</v>
      </c>
      <c r="B82">
        <v>7.9569999999999999</v>
      </c>
      <c r="C82">
        <v>54.320999999999998</v>
      </c>
    </row>
    <row r="83" spans="1:3" x14ac:dyDescent="0.25">
      <c r="A83">
        <v>8</v>
      </c>
      <c r="B83">
        <v>2.262</v>
      </c>
      <c r="C83">
        <v>17.704999999999998</v>
      </c>
    </row>
    <row r="84" spans="1:3" x14ac:dyDescent="0.25">
      <c r="A84">
        <v>4</v>
      </c>
      <c r="B84">
        <v>7.41</v>
      </c>
      <c r="C84">
        <v>44.098999999999997</v>
      </c>
    </row>
    <row r="85" spans="1:3" x14ac:dyDescent="0.25">
      <c r="A85">
        <v>5</v>
      </c>
      <c r="B85">
        <v>3.1970000000000001</v>
      </c>
      <c r="C85">
        <v>16.106000000000002</v>
      </c>
    </row>
    <row r="86" spans="1:3" x14ac:dyDescent="0.25">
      <c r="A86">
        <v>8</v>
      </c>
      <c r="B86">
        <v>1.982</v>
      </c>
      <c r="C86">
        <v>16.460999999999999</v>
      </c>
    </row>
    <row r="87" spans="1:3" x14ac:dyDescent="0.25">
      <c r="A87">
        <v>8</v>
      </c>
      <c r="B87">
        <v>6.2009999999999996</v>
      </c>
      <c r="C87">
        <v>39.957000000000001</v>
      </c>
    </row>
    <row r="88" spans="1:3" x14ac:dyDescent="0.25">
      <c r="A88">
        <v>7</v>
      </c>
      <c r="B88">
        <v>4.0670000000000002</v>
      </c>
      <c r="C88">
        <v>23.149000000000001</v>
      </c>
    </row>
    <row r="89" spans="1:3" x14ac:dyDescent="0.25">
      <c r="A89">
        <v>3</v>
      </c>
      <c r="B89">
        <v>1.0329999999999999</v>
      </c>
      <c r="C89">
        <v>6.0529999999999999</v>
      </c>
    </row>
    <row r="90" spans="1:3" x14ac:dyDescent="0.25">
      <c r="A90">
        <v>5</v>
      </c>
      <c r="B90">
        <v>1.8029999999999999</v>
      </c>
      <c r="C90">
        <v>11.253</v>
      </c>
    </row>
    <row r="91" spans="1:3" x14ac:dyDescent="0.25">
      <c r="A91">
        <v>7</v>
      </c>
      <c r="B91">
        <v>6.3760000000000003</v>
      </c>
      <c r="C91">
        <v>40.024000000000001</v>
      </c>
    </row>
    <row r="92" spans="1:3" x14ac:dyDescent="0.25">
      <c r="A92">
        <v>7</v>
      </c>
      <c r="B92">
        <v>4.1820000000000004</v>
      </c>
      <c r="C92">
        <v>24.393999999999998</v>
      </c>
    </row>
    <row r="93" spans="1:3" x14ac:dyDescent="0.25">
      <c r="A93">
        <v>8</v>
      </c>
      <c r="B93">
        <v>2.73</v>
      </c>
      <c r="C93">
        <v>19.564</v>
      </c>
    </row>
    <row r="94" spans="1:3" x14ac:dyDescent="0.25">
      <c r="A94">
        <v>4</v>
      </c>
      <c r="B94">
        <v>5.0270000000000001</v>
      </c>
      <c r="C94">
        <v>23.916</v>
      </c>
    </row>
    <row r="95" spans="1:3" x14ac:dyDescent="0.25">
      <c r="A95">
        <v>8</v>
      </c>
      <c r="B95">
        <v>6.4710000000000001</v>
      </c>
      <c r="C95">
        <v>42.426000000000002</v>
      </c>
    </row>
    <row r="96" spans="1:3" x14ac:dyDescent="0.25">
      <c r="A96">
        <v>8</v>
      </c>
      <c r="B96">
        <v>3.919</v>
      </c>
      <c r="C96">
        <v>24.451000000000001</v>
      </c>
    </row>
    <row r="97" spans="1:4" x14ac:dyDescent="0.25">
      <c r="A97">
        <v>6</v>
      </c>
      <c r="B97">
        <v>3.5609999999999999</v>
      </c>
      <c r="C97">
        <v>19.128</v>
      </c>
    </row>
    <row r="98" spans="1:4" x14ac:dyDescent="0.25">
      <c r="A98">
        <v>3</v>
      </c>
      <c r="B98">
        <v>0.30099999999999999</v>
      </c>
      <c r="C98">
        <v>5.609</v>
      </c>
    </row>
    <row r="99" spans="1:4" x14ac:dyDescent="0.25">
      <c r="A99">
        <v>4</v>
      </c>
      <c r="B99">
        <v>7.1630000000000003</v>
      </c>
      <c r="C99">
        <v>41.444000000000003</v>
      </c>
    </row>
    <row r="100" spans="1:4" x14ac:dyDescent="0.25">
      <c r="A100">
        <v>7</v>
      </c>
      <c r="B100">
        <v>0.309</v>
      </c>
      <c r="C100">
        <v>12.026999999999999</v>
      </c>
    </row>
    <row r="101" spans="1:4" x14ac:dyDescent="0.25">
      <c r="A101">
        <v>3</v>
      </c>
      <c r="B101">
        <v>6.335</v>
      </c>
      <c r="C101">
        <v>32.356999999999999</v>
      </c>
    </row>
    <row r="102" spans="1:4" x14ac:dyDescent="0.25">
      <c r="B102">
        <f>MAX(B1:B101)</f>
        <v>7.9569999999999999</v>
      </c>
      <c r="C102">
        <f>MAX(C2:C101)</f>
        <v>55.298999999999999</v>
      </c>
      <c r="D102" t="s">
        <v>3</v>
      </c>
    </row>
    <row r="103" spans="1:4" x14ac:dyDescent="0.25">
      <c r="B103">
        <f>AVERAGE(B2:B101)</f>
        <v>4.07714</v>
      </c>
      <c r="C103">
        <f>AVERAGE(C2:C102)</f>
        <v>24.723445544554448</v>
      </c>
      <c r="D103" t="s">
        <v>8</v>
      </c>
    </row>
    <row r="104" spans="1:4" x14ac:dyDescent="0.25">
      <c r="B104">
        <f>MEDIAN(B2:B101)</f>
        <v>4.0220000000000002</v>
      </c>
      <c r="C104">
        <f>MEDIAN(C2:C101)</f>
        <v>20.0595</v>
      </c>
      <c r="D104" t="s">
        <v>4</v>
      </c>
    </row>
    <row r="105" spans="1:4" x14ac:dyDescent="0.25">
      <c r="B105">
        <f>MIN(B2:B101)</f>
        <v>9.6000000000000002E-2</v>
      </c>
      <c r="C105">
        <f>MIN(C2:C101)</f>
        <v>5.609</v>
      </c>
      <c r="D105" t="s">
        <v>5</v>
      </c>
    </row>
    <row r="106" spans="1:4" x14ac:dyDescent="0.25">
      <c r="B106">
        <f>MAX(B2:B101)-MIN(B2:B101)</f>
        <v>7.8609999999999998</v>
      </c>
      <c r="C106">
        <f>MAX(C1:C101)-MIN(C1:C101)</f>
        <v>49.69</v>
      </c>
      <c r="D106" t="s">
        <v>6</v>
      </c>
    </row>
    <row r="107" spans="1:4" x14ac:dyDescent="0.25">
      <c r="B107">
        <f>_xlfn.VAR.P(B2:B101)</f>
        <v>5.5744143203999821</v>
      </c>
      <c r="C107">
        <f>_xlfn.VAR.P(C2:C101)</f>
        <v>203.18756583390098</v>
      </c>
      <c r="D107" t="s">
        <v>7</v>
      </c>
    </row>
    <row r="108" spans="1:4" x14ac:dyDescent="0.25">
      <c r="B108">
        <f>_xlfn.STDEV.P(B2:B101)</f>
        <v>2.3610197628143612</v>
      </c>
      <c r="C108">
        <f>_xlfn.STDEV.P(C2:C101)</f>
        <v>14.254387599399035</v>
      </c>
      <c r="D108" t="s">
        <v>9</v>
      </c>
    </row>
    <row r="109" spans="1:4" x14ac:dyDescent="0.25">
      <c r="B109">
        <f>_xlfn.STDEV.S(B2:B101)</f>
        <v>2.3729141442027686</v>
      </c>
      <c r="C109">
        <f>_xlfn.STDEV.S(C2:C101)</f>
        <v>14.326198570758013</v>
      </c>
      <c r="D109" t="s">
        <v>10</v>
      </c>
    </row>
    <row r="110" spans="1:4" x14ac:dyDescent="0.25">
      <c r="B110">
        <f>CORREL(B2:B101,C2:C101)</f>
        <v>0.94225389036405427</v>
      </c>
      <c r="D110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24695A0506</dc:creator>
  <cp:lastModifiedBy>24695A0506@mits.com</cp:lastModifiedBy>
  <dcterms:created xsi:type="dcterms:W3CDTF">2026-05-26T09:52:14Z</dcterms:created>
  <dcterms:modified xsi:type="dcterms:W3CDTF">2026-05-26T11:03:31Z</dcterms:modified>
</cp:coreProperties>
</file>