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DA Training\Day25\"/>
    </mc:Choice>
  </mc:AlternateContent>
  <xr:revisionPtr revIDLastSave="0" documentId="8_{2E3FC50B-9517-4916-9281-0D33EB51F89D}" xr6:coauthVersionLast="47" xr6:coauthVersionMax="47" xr10:uidLastSave="{00000000-0000-0000-0000-000000000000}"/>
  <bookViews>
    <workbookView xWindow="-120" yWindow="-120" windowWidth="29040" windowHeight="15720" xr2:uid="{E9313C45-36AE-4CAE-BB4B-62E1C7401D43}"/>
  </bookViews>
  <sheets>
    <sheet name="Probability Measures" sheetId="1" r:id="rId1"/>
  </sheets>
  <definedNames>
    <definedName name="_xlchart.v1.0" hidden="1">'Probability Measures'!$O$19</definedName>
    <definedName name="_xlchart.v1.1" hidden="1">'Probability Measures'!$O$19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7" i="1" l="1"/>
  <c r="P17" i="1"/>
  <c r="O17" i="1"/>
  <c r="Q14" i="1"/>
  <c r="P14" i="1"/>
  <c r="O14" i="1"/>
  <c r="J5" i="1"/>
  <c r="J11" i="1"/>
  <c r="J8" i="1"/>
  <c r="J2" i="1"/>
  <c r="C17" i="1" l="1"/>
  <c r="C15" i="1"/>
  <c r="D12" i="1"/>
  <c r="D10" i="1"/>
  <c r="D8" i="1"/>
  <c r="B7" i="1"/>
  <c r="B10" i="1"/>
  <c r="C16" i="1" l="1"/>
</calcChain>
</file>

<file path=xl/sharedStrings.xml><?xml version="1.0" encoding="utf-8"?>
<sst xmlns="http://schemas.openxmlformats.org/spreadsheetml/2006/main" count="27" uniqueCount="23">
  <si>
    <t>Total People</t>
  </si>
  <si>
    <t>Disease people</t>
  </si>
  <si>
    <t>Healthy People</t>
  </si>
  <si>
    <t>Test Accuracy</t>
  </si>
  <si>
    <t>False Positive Rate</t>
  </si>
  <si>
    <t>Prob of Total Positive</t>
  </si>
  <si>
    <t>Total False Negative</t>
  </si>
  <si>
    <t>Total Test</t>
  </si>
  <si>
    <t>Prob of Healthy People</t>
  </si>
  <si>
    <t>Prob of Disease People</t>
  </si>
  <si>
    <t>Prob of Positive</t>
  </si>
  <si>
    <t>Prob of Negative</t>
  </si>
  <si>
    <t>Total</t>
  </si>
  <si>
    <t>Score</t>
  </si>
  <si>
    <t>Skewness of Score</t>
  </si>
  <si>
    <t>Skewness of Score of Last 5 Score</t>
  </si>
  <si>
    <t>Skewness of Score of First 5 Score</t>
  </si>
  <si>
    <t>Skewness A/C Population</t>
  </si>
  <si>
    <t>Symmetric Data</t>
  </si>
  <si>
    <t>Positive_Skew_Data</t>
  </si>
  <si>
    <t>Negative Skew Data</t>
  </si>
  <si>
    <t>Skewness</t>
  </si>
  <si>
    <t>Kurtosis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</si>
</sst>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</cellStyleXfs>
  <cellXfs count="11">
    <xf numFmtId="0" fontId="0" fillId="0" borderId="0" xfId="0"/>
    <xf numFmtId="9" fontId="0" fillId="0" borderId="0" xfId="0" applyNumberFormat="1"/>
    <xf numFmtId="0" fontId="0" fillId="4" borderId="2" xfId="3" applyFont="1" applyAlignment="1">
      <alignment horizontal="center"/>
    </xf>
    <xf numFmtId="0" fontId="0" fillId="4" borderId="2" xfId="3" applyFont="1" applyAlignment="1">
      <alignment horizontal="center"/>
    </xf>
    <xf numFmtId="0" fontId="0" fillId="4" borderId="2" xfId="3" applyFont="1"/>
    <xf numFmtId="0" fontId="0" fillId="4" borderId="2" xfId="3" applyFont="1" applyAlignment="1"/>
    <xf numFmtId="0" fontId="2" fillId="2" borderId="3" xfId="1" applyBorder="1" applyAlignment="1">
      <alignment horizontal="center"/>
    </xf>
    <xf numFmtId="0" fontId="2" fillId="2" borderId="3" xfId="1" applyBorder="1"/>
    <xf numFmtId="9" fontId="2" fillId="2" borderId="3" xfId="1" applyNumberFormat="1" applyBorder="1" applyAlignment="1">
      <alignment horizontal="center"/>
    </xf>
    <xf numFmtId="9" fontId="2" fillId="2" borderId="3" xfId="1" applyNumberFormat="1" applyBorder="1"/>
    <xf numFmtId="0" fontId="3" fillId="3" borderId="1" xfId="2" applyAlignment="1">
      <alignment horizontal="center"/>
    </xf>
  </cellXfs>
  <cellStyles count="4">
    <cellStyle name="Good" xfId="1" builtinId="26"/>
    <cellStyle name="Input" xfId="2" builtinId="20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3C1D9-E4BD-430A-9FCA-554011807F12}">
  <dimension ref="A1:Q22"/>
  <sheetViews>
    <sheetView tabSelected="1" workbookViewId="0">
      <selection activeCell="P25" sqref="P25"/>
    </sheetView>
  </sheetViews>
  <sheetFormatPr defaultRowHeight="15" x14ac:dyDescent="0.25"/>
  <cols>
    <col min="1" max="1" width="21.85546875" bestFit="1" customWidth="1"/>
    <col min="4" max="4" width="20.140625" bestFit="1" customWidth="1"/>
    <col min="15" max="15" width="15" bestFit="1" customWidth="1"/>
    <col min="16" max="16" width="19.140625" bestFit="1" customWidth="1"/>
    <col min="17" max="17" width="18.85546875" bestFit="1" customWidth="1"/>
  </cols>
  <sheetData>
    <row r="1" spans="1:17" x14ac:dyDescent="0.25">
      <c r="A1" s="6" t="s">
        <v>0</v>
      </c>
      <c r="B1" s="6">
        <v>10000</v>
      </c>
      <c r="C1" s="7"/>
      <c r="D1" s="7"/>
      <c r="I1" s="2" t="s">
        <v>13</v>
      </c>
      <c r="J1" s="3" t="s">
        <v>14</v>
      </c>
      <c r="K1" s="3"/>
      <c r="L1" s="3"/>
      <c r="M1" s="3"/>
      <c r="N1" s="4"/>
      <c r="O1" s="2" t="s">
        <v>18</v>
      </c>
      <c r="P1" s="2" t="s">
        <v>19</v>
      </c>
      <c r="Q1" s="2" t="s">
        <v>20</v>
      </c>
    </row>
    <row r="2" spans="1:17" x14ac:dyDescent="0.25">
      <c r="A2" s="6" t="s">
        <v>1</v>
      </c>
      <c r="B2" s="6">
        <v>100</v>
      </c>
      <c r="C2" s="7"/>
      <c r="D2" s="7"/>
      <c r="I2" s="2">
        <v>85</v>
      </c>
      <c r="J2" s="3">
        <f>SKEW(I2:I11)</f>
        <v>0.14619542269403121</v>
      </c>
      <c r="K2" s="3"/>
      <c r="L2" s="3"/>
      <c r="M2" s="3"/>
      <c r="N2" s="4"/>
      <c r="O2" s="2">
        <v>5</v>
      </c>
      <c r="P2" s="2">
        <v>6</v>
      </c>
      <c r="Q2" s="2">
        <v>50</v>
      </c>
    </row>
    <row r="3" spans="1:17" x14ac:dyDescent="0.25">
      <c r="A3" s="6" t="s">
        <v>2</v>
      </c>
      <c r="B3" s="6">
        <v>9900</v>
      </c>
      <c r="C3" s="7"/>
      <c r="D3" s="7"/>
      <c r="I3" s="2">
        <v>40</v>
      </c>
      <c r="J3" s="5"/>
      <c r="K3" s="5"/>
      <c r="L3" s="5"/>
      <c r="M3" s="5"/>
      <c r="N3" s="4"/>
      <c r="O3" s="2">
        <v>10</v>
      </c>
      <c r="P3" s="2">
        <v>8</v>
      </c>
      <c r="Q3" s="2">
        <v>48</v>
      </c>
    </row>
    <row r="4" spans="1:17" x14ac:dyDescent="0.25">
      <c r="A4" s="6" t="s">
        <v>3</v>
      </c>
      <c r="B4" s="8">
        <v>0.95</v>
      </c>
      <c r="C4" s="7"/>
      <c r="D4" s="7"/>
      <c r="I4" s="2">
        <v>60</v>
      </c>
      <c r="J4" s="3" t="s">
        <v>15</v>
      </c>
      <c r="K4" s="3"/>
      <c r="L4" s="3"/>
      <c r="M4" s="3"/>
      <c r="N4" s="4"/>
      <c r="O4" s="2">
        <v>15</v>
      </c>
      <c r="P4" s="2">
        <v>11</v>
      </c>
      <c r="Q4" s="2">
        <v>47</v>
      </c>
    </row>
    <row r="5" spans="1:17" x14ac:dyDescent="0.25">
      <c r="A5" s="6" t="s">
        <v>4</v>
      </c>
      <c r="B5" s="8">
        <v>0.05</v>
      </c>
      <c r="C5" s="7"/>
      <c r="D5" s="7"/>
      <c r="I5" s="2">
        <v>30</v>
      </c>
      <c r="J5" s="3">
        <f>SKEW(I7:I11)</f>
        <v>0.39088252130088413</v>
      </c>
      <c r="K5" s="3"/>
      <c r="L5" s="3"/>
      <c r="M5" s="3"/>
      <c r="N5" s="4"/>
      <c r="O5" s="2">
        <v>20</v>
      </c>
      <c r="P5" s="2">
        <v>15</v>
      </c>
      <c r="Q5" s="2">
        <v>43</v>
      </c>
    </row>
    <row r="6" spans="1:17" x14ac:dyDescent="0.25">
      <c r="A6" s="7"/>
      <c r="B6" s="7"/>
      <c r="C6" s="7"/>
      <c r="D6" s="7"/>
      <c r="I6" s="2">
        <v>75</v>
      </c>
      <c r="J6" s="5"/>
      <c r="K6" s="5"/>
      <c r="L6" s="5"/>
      <c r="M6" s="5"/>
      <c r="N6" s="4"/>
      <c r="O6" s="2">
        <v>25</v>
      </c>
      <c r="P6" s="2">
        <v>20</v>
      </c>
      <c r="Q6" s="2">
        <v>39</v>
      </c>
    </row>
    <row r="7" spans="1:17" x14ac:dyDescent="0.25">
      <c r="A7" s="6" t="s">
        <v>8</v>
      </c>
      <c r="B7" s="7">
        <f>B3/B1</f>
        <v>0.99</v>
      </c>
      <c r="C7" s="7"/>
      <c r="D7" s="6" t="s">
        <v>5</v>
      </c>
      <c r="I7" s="2">
        <v>55</v>
      </c>
      <c r="J7" s="3" t="s">
        <v>16</v>
      </c>
      <c r="K7" s="3"/>
      <c r="L7" s="3"/>
      <c r="M7" s="3"/>
      <c r="N7" s="4"/>
      <c r="O7" s="2">
        <v>30</v>
      </c>
      <c r="P7" s="2">
        <v>26</v>
      </c>
      <c r="Q7" s="2">
        <v>35</v>
      </c>
    </row>
    <row r="8" spans="1:17" x14ac:dyDescent="0.25">
      <c r="A8" s="7"/>
      <c r="B8" s="9">
        <v>0.99</v>
      </c>
      <c r="C8" s="7"/>
      <c r="D8" s="6">
        <f>B4*B7</f>
        <v>0.9405</v>
      </c>
      <c r="I8" s="2">
        <v>95</v>
      </c>
      <c r="J8" s="3">
        <f>SKEW(I2:I6)</f>
        <v>-0.10782921911232027</v>
      </c>
      <c r="K8" s="3"/>
      <c r="L8" s="3"/>
      <c r="M8" s="3"/>
      <c r="N8" s="4"/>
      <c r="O8" s="2">
        <v>35</v>
      </c>
      <c r="P8" s="2">
        <v>33</v>
      </c>
      <c r="Q8" s="2">
        <v>30</v>
      </c>
    </row>
    <row r="9" spans="1:17" x14ac:dyDescent="0.25">
      <c r="A9" s="7"/>
      <c r="B9" s="7"/>
      <c r="C9" s="7"/>
      <c r="D9" s="6" t="s">
        <v>6</v>
      </c>
      <c r="I9" s="2">
        <v>45</v>
      </c>
      <c r="J9" s="5"/>
      <c r="K9" s="5"/>
      <c r="L9" s="5"/>
      <c r="M9" s="5"/>
      <c r="N9" s="4"/>
      <c r="O9" s="2">
        <v>40</v>
      </c>
      <c r="P9" s="2">
        <v>41</v>
      </c>
      <c r="Q9" s="2">
        <v>27</v>
      </c>
    </row>
    <row r="10" spans="1:17" x14ac:dyDescent="0.25">
      <c r="A10" s="7" t="s">
        <v>9</v>
      </c>
      <c r="B10" s="7">
        <f>B2/B1</f>
        <v>0.01</v>
      </c>
      <c r="C10" s="7"/>
      <c r="D10" s="6">
        <f>B5*B10</f>
        <v>5.0000000000000001E-4</v>
      </c>
      <c r="I10" s="2">
        <v>68</v>
      </c>
      <c r="J10" s="3" t="s">
        <v>17</v>
      </c>
      <c r="K10" s="3"/>
      <c r="L10" s="3"/>
      <c r="M10" s="3"/>
      <c r="N10" s="4"/>
      <c r="O10" s="2">
        <v>45</v>
      </c>
      <c r="P10" s="2">
        <v>49</v>
      </c>
      <c r="Q10" s="2">
        <v>24</v>
      </c>
    </row>
    <row r="11" spans="1:17" x14ac:dyDescent="0.25">
      <c r="A11" s="7"/>
      <c r="B11" s="9">
        <v>0.01</v>
      </c>
      <c r="C11" s="7"/>
      <c r="D11" s="6" t="s">
        <v>7</v>
      </c>
      <c r="I11" s="2">
        <v>25</v>
      </c>
      <c r="J11" s="3">
        <f>_xlfn.SKEW.P(I2:I11)</f>
        <v>0.12328280512112189</v>
      </c>
      <c r="K11" s="3"/>
      <c r="L11" s="3"/>
      <c r="M11" s="3"/>
      <c r="N11" s="4"/>
      <c r="O11" s="2">
        <v>50</v>
      </c>
      <c r="P11" s="2">
        <v>58</v>
      </c>
      <c r="Q11" s="2">
        <v>20</v>
      </c>
    </row>
    <row r="12" spans="1:17" x14ac:dyDescent="0.25">
      <c r="A12" s="7"/>
      <c r="B12" s="7"/>
      <c r="C12" s="7"/>
      <c r="D12" s="6">
        <f>D8+D10</f>
        <v>0.94099999999999995</v>
      </c>
      <c r="I12" s="4"/>
      <c r="J12" s="4"/>
      <c r="K12" s="4"/>
      <c r="L12" s="4"/>
      <c r="M12" s="4"/>
      <c r="N12" s="4"/>
      <c r="O12" s="2"/>
      <c r="P12" s="2"/>
      <c r="Q12" s="2"/>
    </row>
    <row r="13" spans="1:17" x14ac:dyDescent="0.25">
      <c r="A13" s="7"/>
      <c r="B13" s="7"/>
      <c r="C13" s="7"/>
      <c r="D13" s="7"/>
      <c r="I13" s="4"/>
      <c r="J13" s="4"/>
      <c r="K13" s="4"/>
      <c r="L13" s="4"/>
      <c r="M13" s="4"/>
      <c r="N13" s="4"/>
      <c r="O13" s="2" t="s">
        <v>21</v>
      </c>
      <c r="P13" s="2" t="s">
        <v>21</v>
      </c>
      <c r="Q13" s="2" t="s">
        <v>21</v>
      </c>
    </row>
    <row r="14" spans="1:17" x14ac:dyDescent="0.25">
      <c r="A14" s="7"/>
      <c r="B14" s="7"/>
      <c r="C14" s="7"/>
      <c r="D14" s="7"/>
      <c r="I14" s="4"/>
      <c r="J14" s="4"/>
      <c r="K14" s="4"/>
      <c r="L14" s="4"/>
      <c r="M14" s="4"/>
      <c r="N14" s="4"/>
      <c r="O14" s="2">
        <f>SKEW(O2:O11)</f>
        <v>0</v>
      </c>
      <c r="P14" s="2">
        <f>SKEW(P2:P11)</f>
        <v>0.56202174121206561</v>
      </c>
      <c r="Q14" s="2">
        <f>SKEW(Q2:Q11)</f>
        <v>-0.17200935130966796</v>
      </c>
    </row>
    <row r="15" spans="1:17" x14ac:dyDescent="0.25">
      <c r="A15" s="7" t="s">
        <v>10</v>
      </c>
      <c r="B15" s="7"/>
      <c r="C15" s="7">
        <f>D8/D12</f>
        <v>0.99946865037194477</v>
      </c>
      <c r="D15" s="7"/>
    </row>
    <row r="16" spans="1:17" x14ac:dyDescent="0.25">
      <c r="A16" s="7" t="s">
        <v>11</v>
      </c>
      <c r="B16" s="7"/>
      <c r="C16" s="7">
        <f>D10/D12</f>
        <v>5.3134962805526044E-4</v>
      </c>
      <c r="D16" s="7"/>
      <c r="O16" s="10" t="s">
        <v>22</v>
      </c>
      <c r="P16" s="10" t="s">
        <v>22</v>
      </c>
      <c r="Q16" s="10" t="s">
        <v>22</v>
      </c>
    </row>
    <row r="17" spans="1:17" x14ac:dyDescent="0.25">
      <c r="A17" s="7" t="s">
        <v>12</v>
      </c>
      <c r="B17" s="7"/>
      <c r="C17" s="7">
        <f>C15+C16</f>
        <v>1</v>
      </c>
      <c r="D17" s="7"/>
      <c r="O17" s="10">
        <f>KURT(O2:O11)</f>
        <v>-1.1999999999999993</v>
      </c>
      <c r="P17" s="10">
        <f>KURT(P2:P11)</f>
        <v>-0.96208139020827987</v>
      </c>
      <c r="Q17" s="10">
        <f>KURT(Q2:Q11)</f>
        <v>-1.5120214684779563</v>
      </c>
    </row>
    <row r="19" spans="1:17" x14ac:dyDescent="0.25">
      <c r="C19" s="1"/>
    </row>
    <row r="22" spans="1:17" x14ac:dyDescent="0.25">
      <c r="C22" s="1"/>
    </row>
  </sheetData>
  <mergeCells count="8">
    <mergeCell ref="J11:M11"/>
    <mergeCell ref="J1:M1"/>
    <mergeCell ref="J4:M4"/>
    <mergeCell ref="J7:M7"/>
    <mergeCell ref="J10:M10"/>
    <mergeCell ref="J2:M2"/>
    <mergeCell ref="J5:M5"/>
    <mergeCell ref="J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Probability 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PULLA</dc:creator>
  <cp:lastModifiedBy>KARTHIK PULLA</cp:lastModifiedBy>
  <dcterms:created xsi:type="dcterms:W3CDTF">2026-06-25T04:45:59Z</dcterms:created>
  <dcterms:modified xsi:type="dcterms:W3CDTF">2026-06-25T07:15:43Z</dcterms:modified>
</cp:coreProperties>
</file>