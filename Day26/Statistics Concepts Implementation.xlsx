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 Training\Day26\"/>
    </mc:Choice>
  </mc:AlternateContent>
  <xr:revisionPtr revIDLastSave="0" documentId="13_ncr:1_{BFAEBDB2-1AB9-4F14-BDF6-5DE847318C67}" xr6:coauthVersionLast="47" xr6:coauthVersionMax="47" xr10:uidLastSave="{00000000-0000-0000-0000-000000000000}"/>
  <bookViews>
    <workbookView xWindow="-120" yWindow="-120" windowWidth="29040" windowHeight="15720" tabRatio="497" xr2:uid="{5EAF3A9F-905D-42A7-AA33-7140239A1F64}"/>
  </bookViews>
  <sheets>
    <sheet name="Various Probabil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1" l="1"/>
  <c r="V14" i="1"/>
  <c r="W12" i="1"/>
  <c r="V12" i="1"/>
  <c r="W9" i="1" l="1"/>
  <c r="V9" i="1"/>
  <c r="R12" i="1"/>
  <c r="W3" i="1"/>
  <c r="W4" i="1"/>
  <c r="W5" i="1"/>
  <c r="W6" i="1"/>
  <c r="W2" i="1"/>
  <c r="V3" i="1"/>
  <c r="V4" i="1"/>
  <c r="V5" i="1"/>
  <c r="V6" i="1"/>
  <c r="V2" i="1"/>
  <c r="U6" i="1"/>
  <c r="U5" i="1"/>
  <c r="U4" i="1"/>
  <c r="U3" i="1"/>
  <c r="U2" i="1"/>
  <c r="T6" i="1"/>
  <c r="T5" i="1"/>
  <c r="T4" i="1"/>
  <c r="T3" i="1"/>
  <c r="N11" i="1"/>
  <c r="T2" i="1"/>
  <c r="S9" i="1"/>
  <c r="R9" i="1"/>
  <c r="N8" i="1"/>
  <c r="K24" i="1"/>
  <c r="K21" i="1"/>
  <c r="K18" i="1"/>
  <c r="K15" i="1"/>
  <c r="K12" i="1"/>
  <c r="K9" i="1"/>
  <c r="K6" i="1"/>
  <c r="K2" i="1"/>
</calcChain>
</file>

<file path=xl/sharedStrings.xml><?xml version="1.0" encoding="utf-8"?>
<sst xmlns="http://schemas.openxmlformats.org/spreadsheetml/2006/main" count="82" uniqueCount="56">
  <si>
    <t>ID</t>
  </si>
  <si>
    <t>Name</t>
  </si>
  <si>
    <t>Score</t>
  </si>
  <si>
    <t>Attendance</t>
  </si>
  <si>
    <t>Age</t>
  </si>
  <si>
    <t>Gender</t>
  </si>
  <si>
    <t>Subject</t>
  </si>
  <si>
    <t>Grade</t>
  </si>
  <si>
    <t>Region</t>
  </si>
  <si>
    <t>Alice</t>
  </si>
  <si>
    <t>F</t>
  </si>
  <si>
    <t>Math</t>
  </si>
  <si>
    <t>A</t>
  </si>
  <si>
    <t>North</t>
  </si>
  <si>
    <t>Bob</t>
  </si>
  <si>
    <t>M</t>
  </si>
  <si>
    <t>Science</t>
  </si>
  <si>
    <t>D</t>
  </si>
  <si>
    <t>South</t>
  </si>
  <si>
    <t>Charlie</t>
  </si>
  <si>
    <t>English</t>
  </si>
  <si>
    <t>C</t>
  </si>
  <si>
    <t>East</t>
  </si>
  <si>
    <t>Diana</t>
  </si>
  <si>
    <t>History</t>
  </si>
  <si>
    <t>West</t>
  </si>
  <si>
    <t>Ethan</t>
  </si>
  <si>
    <t>B</t>
  </si>
  <si>
    <t>Fiona</t>
  </si>
  <si>
    <t>George</t>
  </si>
  <si>
    <t>Helen</t>
  </si>
  <si>
    <t>Ian</t>
  </si>
  <si>
    <t>Judy</t>
  </si>
  <si>
    <t>Binomial</t>
  </si>
  <si>
    <t>Poisson</t>
  </si>
  <si>
    <t>Covariance of Population</t>
  </si>
  <si>
    <t>Covariance of Sample</t>
  </si>
  <si>
    <t>Poisson of Sample 5</t>
  </si>
  <si>
    <t>Poisson of Sample 7</t>
  </si>
  <si>
    <t>Correlation</t>
  </si>
  <si>
    <t>Normal Dsitribution</t>
  </si>
  <si>
    <t>Z-Score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</si>
  <si>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</si>
  <si>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yi</t>
  </si>
  <si>
    <t>xi</t>
  </si>
  <si>
    <t>x-xi</t>
  </si>
  <si>
    <t>y-yi</t>
  </si>
  <si>
    <t>Sq(x-xi)</t>
  </si>
  <si>
    <t>Sq(y-yi)</t>
  </si>
  <si>
    <t>x</t>
  </si>
  <si>
    <t>y</t>
  </si>
  <si>
    <t>Covariance</t>
  </si>
  <si>
    <t>H0=FAIR</t>
  </si>
  <si>
    <t>H1=TRICKY &amp; Alpha =0.05</t>
  </si>
  <si>
    <t>SQRT(X)</t>
  </si>
  <si>
    <t>SQRT(Y)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</si>
</sst>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2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1" applyAlignment="1">
      <alignment horizontal="center"/>
    </xf>
    <xf numFmtId="0" fontId="3" fillId="3" borderId="2" xfId="2" applyAlignment="1">
      <alignment horizontal="center"/>
    </xf>
    <xf numFmtId="0" fontId="3" fillId="3" borderId="2" xfId="2"/>
  </cellXfs>
  <cellStyles count="3">
    <cellStyle name="Input" xfId="2" builtinId="20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FC4B-E71B-453D-8AE4-656AD1D7C75B}">
  <dimension ref="A1:W24"/>
  <sheetViews>
    <sheetView tabSelected="1" workbookViewId="0">
      <selection activeCell="R17" sqref="R17:T18"/>
    </sheetView>
  </sheetViews>
  <sheetFormatPr defaultRowHeight="15" x14ac:dyDescent="0.25"/>
  <cols>
    <col min="11" max="11" width="23.5703125" style="1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2" t="s">
        <v>33</v>
      </c>
      <c r="R1" s="3" t="s">
        <v>49</v>
      </c>
      <c r="S1" s="3" t="s">
        <v>50</v>
      </c>
      <c r="T1" s="3" t="s">
        <v>45</v>
      </c>
      <c r="U1" s="3" t="s">
        <v>46</v>
      </c>
      <c r="V1" s="3" t="s">
        <v>47</v>
      </c>
      <c r="W1" s="3" t="s">
        <v>48</v>
      </c>
    </row>
    <row r="2" spans="1:23" x14ac:dyDescent="0.25">
      <c r="A2">
        <v>1</v>
      </c>
      <c r="B2" t="s">
        <v>9</v>
      </c>
      <c r="C2">
        <v>85</v>
      </c>
      <c r="D2">
        <v>90</v>
      </c>
      <c r="E2">
        <v>20</v>
      </c>
      <c r="F2" t="s">
        <v>10</v>
      </c>
      <c r="G2" t="s">
        <v>11</v>
      </c>
      <c r="H2" t="s">
        <v>12</v>
      </c>
      <c r="I2" t="s">
        <v>13</v>
      </c>
      <c r="K2" s="2">
        <f>_xlfn.BINOM.DIST(6,10,6/10,FALSE)</f>
        <v>0.25082265600000009</v>
      </c>
      <c r="M2">
        <v>3</v>
      </c>
      <c r="N2">
        <v>5</v>
      </c>
      <c r="R2" s="3">
        <v>2</v>
      </c>
      <c r="S2" s="3">
        <v>4</v>
      </c>
      <c r="T2" s="3">
        <f>R2-R9</f>
        <v>-0.39999999999999991</v>
      </c>
      <c r="U2" s="3">
        <f>S2-S9</f>
        <v>0.10000000000000009</v>
      </c>
      <c r="V2" s="3">
        <f>T2*T2</f>
        <v>0.15999999999999992</v>
      </c>
      <c r="W2" s="3">
        <f>U2*U2</f>
        <v>1.0000000000000018E-2</v>
      </c>
    </row>
    <row r="3" spans="1:23" x14ac:dyDescent="0.25">
      <c r="A3">
        <v>2</v>
      </c>
      <c r="B3" t="s">
        <v>14</v>
      </c>
      <c r="C3">
        <v>40</v>
      </c>
      <c r="D3">
        <v>60</v>
      </c>
      <c r="E3">
        <v>22</v>
      </c>
      <c r="F3" t="s">
        <v>15</v>
      </c>
      <c r="G3" t="s">
        <v>16</v>
      </c>
      <c r="H3" t="s">
        <v>17</v>
      </c>
      <c r="I3" t="s">
        <v>18</v>
      </c>
      <c r="K3" s="2"/>
      <c r="M3">
        <v>2</v>
      </c>
      <c r="N3">
        <v>4.5</v>
      </c>
      <c r="R3" s="3">
        <v>3</v>
      </c>
      <c r="S3" s="3">
        <v>4.5</v>
      </c>
      <c r="T3" s="3">
        <f>R3-R9</f>
        <v>0.60000000000000009</v>
      </c>
      <c r="U3" s="3">
        <f>S3-S9</f>
        <v>0.60000000000000009</v>
      </c>
      <c r="V3" s="3">
        <f t="shared" ref="V3:V6" si="0">T3*T3</f>
        <v>0.3600000000000001</v>
      </c>
      <c r="W3" s="3">
        <f t="shared" ref="W3:W6" si="1">U3*U3</f>
        <v>0.3600000000000001</v>
      </c>
    </row>
    <row r="4" spans="1:23" x14ac:dyDescent="0.25">
      <c r="A4">
        <v>3</v>
      </c>
      <c r="B4" t="s">
        <v>19</v>
      </c>
      <c r="C4">
        <v>60</v>
      </c>
      <c r="D4">
        <v>75</v>
      </c>
      <c r="E4">
        <v>21</v>
      </c>
      <c r="F4" t="s">
        <v>15</v>
      </c>
      <c r="G4" t="s">
        <v>20</v>
      </c>
      <c r="H4" t="s">
        <v>21</v>
      </c>
      <c r="I4" t="s">
        <v>22</v>
      </c>
      <c r="K4" s="2" t="s">
        <v>34</v>
      </c>
      <c r="M4">
        <v>6</v>
      </c>
      <c r="N4">
        <v>9</v>
      </c>
      <c r="R4" s="3">
        <v>6</v>
      </c>
      <c r="S4" s="3">
        <v>6</v>
      </c>
      <c r="T4" s="3">
        <f>R4-R9</f>
        <v>3.6</v>
      </c>
      <c r="U4" s="3">
        <f>S4-S9</f>
        <v>2.1</v>
      </c>
      <c r="V4" s="3">
        <f t="shared" si="0"/>
        <v>12.96</v>
      </c>
      <c r="W4" s="3">
        <f t="shared" si="1"/>
        <v>4.41</v>
      </c>
    </row>
    <row r="5" spans="1:23" x14ac:dyDescent="0.25">
      <c r="A5">
        <v>4</v>
      </c>
      <c r="B5" t="s">
        <v>23</v>
      </c>
      <c r="C5">
        <v>30</v>
      </c>
      <c r="D5">
        <v>50</v>
      </c>
      <c r="E5">
        <v>23</v>
      </c>
      <c r="F5" t="s">
        <v>10</v>
      </c>
      <c r="G5" t="s">
        <v>24</v>
      </c>
      <c r="H5" t="s">
        <v>10</v>
      </c>
      <c r="I5" t="s">
        <v>25</v>
      </c>
      <c r="K5" s="2" t="s">
        <v>37</v>
      </c>
      <c r="M5">
        <v>1</v>
      </c>
      <c r="N5">
        <v>1</v>
      </c>
      <c r="R5" s="3">
        <v>0</v>
      </c>
      <c r="S5" s="3">
        <v>3</v>
      </c>
      <c r="T5" s="3">
        <f>R5-R9</f>
        <v>-2.4</v>
      </c>
      <c r="U5" s="3">
        <f>S5-S9</f>
        <v>-0.89999999999999991</v>
      </c>
      <c r="V5" s="3">
        <f t="shared" si="0"/>
        <v>5.76</v>
      </c>
      <c r="W5" s="3">
        <f t="shared" si="1"/>
        <v>0.80999999999999983</v>
      </c>
    </row>
    <row r="6" spans="1:23" x14ac:dyDescent="0.25">
      <c r="A6">
        <v>5</v>
      </c>
      <c r="B6" t="s">
        <v>26</v>
      </c>
      <c r="C6">
        <v>75</v>
      </c>
      <c r="D6">
        <v>85</v>
      </c>
      <c r="E6">
        <v>20</v>
      </c>
      <c r="F6" t="s">
        <v>15</v>
      </c>
      <c r="G6" t="s">
        <v>11</v>
      </c>
      <c r="H6" t="s">
        <v>27</v>
      </c>
      <c r="I6" t="s">
        <v>13</v>
      </c>
      <c r="K6" s="2">
        <f>_xlfn.POISSON.DIST(5,AVERAGE(C2:C11),TRUE)</f>
        <v>4.6428311529832065E-19</v>
      </c>
      <c r="M6">
        <v>0</v>
      </c>
      <c r="N6">
        <v>1</v>
      </c>
      <c r="R6" s="3">
        <v>1</v>
      </c>
      <c r="S6" s="3">
        <v>2</v>
      </c>
      <c r="T6" s="3">
        <f>R6-R9</f>
        <v>-1.4</v>
      </c>
      <c r="U6" s="3">
        <f>S6-S9</f>
        <v>-1.9</v>
      </c>
      <c r="V6" s="3">
        <f t="shared" si="0"/>
        <v>1.9599999999999997</v>
      </c>
      <c r="W6" s="3">
        <f t="shared" si="1"/>
        <v>3.61</v>
      </c>
    </row>
    <row r="7" spans="1:23" x14ac:dyDescent="0.25">
      <c r="A7">
        <v>6</v>
      </c>
      <c r="B7" t="s">
        <v>28</v>
      </c>
      <c r="C7">
        <v>55</v>
      </c>
      <c r="D7">
        <v>70</v>
      </c>
      <c r="E7">
        <v>22</v>
      </c>
      <c r="F7" t="s">
        <v>10</v>
      </c>
      <c r="G7" t="s">
        <v>16</v>
      </c>
      <c r="H7" t="s">
        <v>21</v>
      </c>
      <c r="I7" t="s">
        <v>18</v>
      </c>
      <c r="K7" s="2"/>
      <c r="R7" s="3"/>
      <c r="S7" s="3"/>
      <c r="T7" s="4"/>
      <c r="U7" s="4"/>
      <c r="V7" s="4"/>
      <c r="W7" s="4"/>
    </row>
    <row r="8" spans="1:23" x14ac:dyDescent="0.25">
      <c r="A8">
        <v>7</v>
      </c>
      <c r="B8" t="s">
        <v>29</v>
      </c>
      <c r="C8">
        <v>95</v>
      </c>
      <c r="D8">
        <v>95</v>
      </c>
      <c r="E8">
        <v>24</v>
      </c>
      <c r="F8" t="s">
        <v>15</v>
      </c>
      <c r="G8" t="s">
        <v>20</v>
      </c>
      <c r="H8" t="s">
        <v>12</v>
      </c>
      <c r="I8" t="s">
        <v>22</v>
      </c>
      <c r="K8" s="2" t="s">
        <v>38</v>
      </c>
      <c r="N8">
        <f>_xlfn.COVARIANCE.S(M2:M6,N2:N6)</f>
        <v>7.4499999999999993</v>
      </c>
      <c r="R8" s="3" t="s">
        <v>44</v>
      </c>
      <c r="S8" s="3" t="s">
        <v>43</v>
      </c>
      <c r="T8" s="4"/>
      <c r="U8" s="4"/>
      <c r="V8" s="4"/>
      <c r="W8" s="4"/>
    </row>
    <row r="9" spans="1:23" x14ac:dyDescent="0.25">
      <c r="A9">
        <v>8</v>
      </c>
      <c r="B9" t="s">
        <v>30</v>
      </c>
      <c r="C9">
        <v>45</v>
      </c>
      <c r="D9">
        <v>65</v>
      </c>
      <c r="E9">
        <v>21</v>
      </c>
      <c r="F9" t="s">
        <v>10</v>
      </c>
      <c r="G9" t="s">
        <v>24</v>
      </c>
      <c r="H9" t="s">
        <v>17</v>
      </c>
      <c r="I9" t="s">
        <v>25</v>
      </c>
      <c r="K9" s="2">
        <f>_xlfn.POISSON.DIST(7,AVERAGE(C2:C11),TRUE)</f>
        <v>3.8351303003079664E-17</v>
      </c>
      <c r="R9" s="3">
        <f>SUM(R2:R6)/5</f>
        <v>2.4</v>
      </c>
      <c r="S9" s="3">
        <f>SUM(S2:S6)/5</f>
        <v>3.9</v>
      </c>
      <c r="T9" s="4"/>
      <c r="U9" s="4"/>
      <c r="V9" s="4">
        <f>_xlfn.VAR.S(V2:V6)</f>
        <v>28.812000000000008</v>
      </c>
      <c r="W9" s="4">
        <f>_xlfn.VAR.S(W2:W6)</f>
        <v>4.0845000000000002</v>
      </c>
    </row>
    <row r="10" spans="1:23" x14ac:dyDescent="0.25">
      <c r="A10">
        <v>9</v>
      </c>
      <c r="B10" t="s">
        <v>31</v>
      </c>
      <c r="C10">
        <v>68</v>
      </c>
      <c r="D10">
        <v>80</v>
      </c>
      <c r="E10">
        <v>23</v>
      </c>
      <c r="F10" t="s">
        <v>15</v>
      </c>
      <c r="G10" t="s">
        <v>11</v>
      </c>
      <c r="H10" t="s">
        <v>27</v>
      </c>
      <c r="I10" t="s">
        <v>13</v>
      </c>
      <c r="K10" s="2"/>
      <c r="R10" s="4"/>
      <c r="S10" s="4"/>
      <c r="T10" s="4"/>
      <c r="U10" s="4"/>
      <c r="V10" s="4"/>
      <c r="W10" s="4"/>
    </row>
    <row r="11" spans="1:23" x14ac:dyDescent="0.25">
      <c r="A11">
        <v>10</v>
      </c>
      <c r="B11" t="s">
        <v>32</v>
      </c>
      <c r="C11">
        <v>25</v>
      </c>
      <c r="D11">
        <v>40</v>
      </c>
      <c r="E11">
        <v>22</v>
      </c>
      <c r="F11" t="s">
        <v>10</v>
      </c>
      <c r="G11" t="s">
        <v>16</v>
      </c>
      <c r="H11" t="s">
        <v>10</v>
      </c>
      <c r="I11" t="s">
        <v>18</v>
      </c>
      <c r="K11" s="2" t="s">
        <v>35</v>
      </c>
      <c r="N11">
        <f>CORREL(M2:M6,N2:N6)</f>
        <v>0.97350278645345811</v>
      </c>
      <c r="R11" s="4" t="s">
        <v>51</v>
      </c>
      <c r="S11" s="4"/>
      <c r="T11" s="4"/>
      <c r="U11" s="4"/>
      <c r="V11" s="4" t="s">
        <v>54</v>
      </c>
      <c r="W11" s="4" t="s">
        <v>55</v>
      </c>
    </row>
    <row r="12" spans="1:23" x14ac:dyDescent="0.25">
      <c r="K12" s="2">
        <f>_xlfn.COVARIANCE.P(C2:C11,D2:D11)</f>
        <v>362.7</v>
      </c>
      <c r="O12" t="s">
        <v>42</v>
      </c>
      <c r="R12" s="4">
        <f>_xlfn.COVARIANCE.S(R2:R6,S2:S6)</f>
        <v>3.1750000000000003</v>
      </c>
      <c r="S12" s="4"/>
      <c r="T12" s="4"/>
      <c r="U12" s="4"/>
      <c r="V12" s="4">
        <f>SQRT(SUM(V2:V6)/4)</f>
        <v>2.3021728866442679</v>
      </c>
      <c r="W12" s="4">
        <f>SQRT(SUM(W2:W6)/4)</f>
        <v>1.51657508881031</v>
      </c>
    </row>
    <row r="13" spans="1:23" x14ac:dyDescent="0.25">
      <c r="K13" s="2"/>
      <c r="R13" s="4"/>
      <c r="S13" s="4"/>
      <c r="T13" s="4"/>
      <c r="U13" s="4"/>
      <c r="V13" s="4"/>
      <c r="W13" s="4"/>
    </row>
    <row r="14" spans="1:23" x14ac:dyDescent="0.25">
      <c r="K14" s="2" t="s">
        <v>36</v>
      </c>
      <c r="R14" s="4">
        <f>CORREL(R2:R6,S2:S6)</f>
        <v>0.90937262582535006</v>
      </c>
      <c r="S14" s="4"/>
      <c r="T14" s="4"/>
      <c r="U14" s="4"/>
      <c r="V14" s="4">
        <f>R12/(V12*W12)</f>
        <v>0.90937262582535017</v>
      </c>
      <c r="W14" s="4"/>
    </row>
    <row r="15" spans="1:23" x14ac:dyDescent="0.25">
      <c r="K15" s="2">
        <f>_xlfn.COVARIANCE.S(C2:C11,D2:D11)</f>
        <v>403</v>
      </c>
      <c r="R15" s="4"/>
      <c r="S15" s="4"/>
      <c r="T15" s="4"/>
      <c r="U15" s="4"/>
      <c r="V15" s="4"/>
      <c r="W15" s="4"/>
    </row>
    <row r="16" spans="1:23" x14ac:dyDescent="0.25">
      <c r="K16" s="2"/>
      <c r="R16" s="4"/>
      <c r="S16" s="4"/>
      <c r="T16" s="4"/>
      <c r="U16" s="4"/>
      <c r="V16" s="4"/>
      <c r="W16" s="4"/>
    </row>
    <row r="17" spans="11:23" x14ac:dyDescent="0.25">
      <c r="K17" s="2" t="s">
        <v>39</v>
      </c>
      <c r="R17" s="4" t="s">
        <v>52</v>
      </c>
      <c r="S17" s="4"/>
      <c r="T17" s="4"/>
      <c r="U17" s="4"/>
      <c r="V17" s="4"/>
      <c r="W17" s="4"/>
    </row>
    <row r="18" spans="11:23" x14ac:dyDescent="0.25">
      <c r="K18" s="2">
        <f>CORREL(D2:D11,C2:C11)</f>
        <v>0.9844128011016039</v>
      </c>
      <c r="R18" s="4" t="s">
        <v>53</v>
      </c>
      <c r="S18" s="4"/>
      <c r="T18" s="4"/>
      <c r="U18" s="4"/>
      <c r="V18" s="4"/>
      <c r="W18" s="4"/>
    </row>
    <row r="19" spans="11:23" x14ac:dyDescent="0.25">
      <c r="K19" s="2"/>
    </row>
    <row r="20" spans="11:23" x14ac:dyDescent="0.25">
      <c r="K20" s="2" t="s">
        <v>40</v>
      </c>
    </row>
    <row r="21" spans="11:23" x14ac:dyDescent="0.25">
      <c r="K21" s="2">
        <f>_xlfn.NORM.DIST(6,AVERAGE(C2:C11),_xlfn.STDEV.S(C2:C11),TRUE)</f>
        <v>1.2945795826236554E-2</v>
      </c>
    </row>
    <row r="22" spans="11:23" x14ac:dyDescent="0.25">
      <c r="K22" s="2"/>
    </row>
    <row r="23" spans="11:23" x14ac:dyDescent="0.25">
      <c r="K23" s="2" t="s">
        <v>41</v>
      </c>
    </row>
    <row r="24" spans="11:23" x14ac:dyDescent="0.25">
      <c r="K24" s="2">
        <f>_xlfn.Z.TEST(C2:C11,5,_xlfn.STDEV.S(C2:C11))</f>
        <v>3.4593101054238196E-13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Various Probabilities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PULLA</dc:creator>
  <cp:lastModifiedBy>KARTHIK PULLA</cp:lastModifiedBy>
  <dcterms:created xsi:type="dcterms:W3CDTF">2026-06-30T05:08:55Z</dcterms:created>
  <dcterms:modified xsi:type="dcterms:W3CDTF">2026-06-30T11:29:24Z</dcterms:modified>
</cp:coreProperties>
</file>