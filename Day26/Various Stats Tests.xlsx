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cuments\DA Training\Day26\"/>
    </mc:Choice>
  </mc:AlternateContent>
  <xr:revisionPtr revIDLastSave="0" documentId="13_ncr:1_{8432428D-C1DE-44EE-961F-713058D95A2B}" xr6:coauthVersionLast="47" xr6:coauthVersionMax="47" xr10:uidLastSave="{00000000-0000-0000-0000-000000000000}"/>
  <bookViews>
    <workbookView xWindow="-120" yWindow="-120" windowWidth="29040" windowHeight="15720" xr2:uid="{58F3D726-B583-4BE8-9649-331A1923B3C1}"/>
  </bookViews>
  <sheets>
    <sheet name="t-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" l="1"/>
  <c r="D23" i="1"/>
  <c r="B13" i="1" l="1"/>
  <c r="A13" i="1"/>
  <c r="E8" i="1"/>
</calcChain>
</file>

<file path=xl/sharedStrings.xml><?xml version="1.0" encoding="utf-8"?>
<sst xmlns="http://schemas.openxmlformats.org/spreadsheetml/2006/main" count="159" uniqueCount="72">
  <si>
    <t>Gender</t>
  </si>
  <si>
    <t>F</t>
  </si>
  <si>
    <t>M</t>
  </si>
  <si>
    <t>Age_F</t>
  </si>
  <si>
    <t>Age_M</t>
  </si>
  <si>
    <t>H1:Mean &gt; 30</t>
  </si>
  <si>
    <t>H0:Mean &lt;= 30</t>
  </si>
  <si>
    <t>Mean</t>
  </si>
  <si>
    <t>t-Test: Two-Sample Assuming Unequal Variances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</si>
  <si>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</si>
  <si>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</si>
  <si>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</si>
  <si>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</si>
  <si>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</si>
  <si>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</si>
  <si>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</si>
  <si>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</si>
  <si>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</si>
  <si>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t-Test: Two-Sample Assuming Equal Variances</t>
  </si>
  <si>
    <t>Pooled Variance</t>
  </si>
  <si>
    <t>t-Test: Paired Two Sample for Means</t>
  </si>
  <si>
    <t>Pearson Correlation</t>
  </si>
  <si>
    <t>z-Test: Two Sample for Means</t>
  </si>
  <si>
    <t>Known Variance</t>
  </si>
  <si>
    <t>z</t>
  </si>
  <si>
    <t>P(Z&lt;=z) one-tail</t>
  </si>
  <si>
    <t>z Critical one-tail</t>
  </si>
  <si>
    <t>P(Z&lt;=z) two-tail</t>
  </si>
  <si>
    <t>z Critical two-tail</t>
  </si>
  <si>
    <t>VAR1</t>
  </si>
  <si>
    <t>VAR2</t>
  </si>
  <si>
    <t>Anova: Single Factor</t>
  </si>
  <si>
    <t>SUMMARY</t>
  </si>
  <si>
    <t>Groups</t>
  </si>
  <si>
    <t>Count</t>
  </si>
  <si>
    <t>Sum</t>
  </si>
  <si>
    <t>Average</t>
  </si>
  <si>
    <t>ANOVA</t>
  </si>
  <si>
    <t>Source of Variation</t>
  </si>
  <si>
    <t>SS</t>
  </si>
  <si>
    <t>MS</t>
  </si>
  <si>
    <t>P-value</t>
  </si>
  <si>
    <t>F crit</t>
  </si>
  <si>
    <t>Between Groups</t>
  </si>
  <si>
    <t>Within Groups</t>
  </si>
  <si>
    <t>Total</t>
  </si>
  <si>
    <t>Attendance</t>
  </si>
  <si>
    <t>Anova: Two-Factor With Replication</t>
  </si>
  <si>
    <t>Sample</t>
  </si>
  <si>
    <t>Columns</t>
  </si>
  <si>
    <t>Interaction</t>
  </si>
  <si>
    <t>Within</t>
  </si>
  <si>
    <t>Correlation</t>
  </si>
  <si>
    <t>Covariance</t>
  </si>
  <si>
    <t>Anova: Two-Factor Without Replication</t>
  </si>
  <si>
    <t>Rows</t>
  </si>
  <si>
    <t>Error</t>
  </si>
  <si>
    <t>SUMMARY OUTPUT</t>
  </si>
  <si>
    <t>Regression Statistics</t>
  </si>
  <si>
    <t>Multiple R</t>
  </si>
  <si>
    <t>R Square</t>
  </si>
  <si>
    <t>Adjusted R Square</t>
  </si>
  <si>
    <t>Standard Error</t>
  </si>
  <si>
    <t>Regression</t>
  </si>
  <si>
    <t>Residual</t>
  </si>
  <si>
    <t>Intercept</t>
  </si>
  <si>
    <t>Significance F</t>
  </si>
  <si>
    <t>Coefficients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</si>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</sst>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2" xfId="0" applyFill="1" applyBorder="1" applyAlignment="1"/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320E8-C708-4113-85CC-20279CF0AD85}">
  <dimension ref="A1:V77"/>
  <sheetViews>
    <sheetView tabSelected="1" workbookViewId="0">
      <selection activeCell="E27" sqref="E27"/>
    </sheetView>
  </sheetViews>
  <sheetFormatPr defaultRowHeight="15" x14ac:dyDescent="0.25"/>
  <cols>
    <col min="2" max="2" width="9.42578125" customWidth="1"/>
    <col min="3" max="3" width="12.7109375" bestFit="1" customWidth="1"/>
    <col min="4" max="4" width="11.28515625" bestFit="1" customWidth="1"/>
    <col min="6" max="6" width="29" bestFit="1" customWidth="1"/>
    <col min="7" max="7" width="12.7109375" bestFit="1" customWidth="1"/>
    <col min="8" max="8" width="12.42578125" bestFit="1" customWidth="1"/>
    <col min="9" max="9" width="12.5703125" bestFit="1" customWidth="1"/>
    <col min="10" max="10" width="12" bestFit="1" customWidth="1"/>
    <col min="11" max="11" width="13.42578125" bestFit="1" customWidth="1"/>
    <col min="12" max="12" width="29" bestFit="1" customWidth="1"/>
    <col min="13" max="13" width="12.7109375" bestFit="1" customWidth="1"/>
    <col min="14" max="14" width="12" bestFit="1" customWidth="1"/>
    <col min="16" max="16" width="19.140625" bestFit="1" customWidth="1"/>
    <col min="20" max="20" width="12" bestFit="1" customWidth="1"/>
    <col min="21" max="21" width="10" bestFit="1" customWidth="1"/>
    <col min="22" max="22" width="12" bestFit="1" customWidth="1"/>
  </cols>
  <sheetData>
    <row r="1" spans="1:22" x14ac:dyDescent="0.25">
      <c r="A1" s="1" t="s">
        <v>3</v>
      </c>
      <c r="B1" s="1" t="s">
        <v>4</v>
      </c>
      <c r="C1" s="1" t="s">
        <v>46</v>
      </c>
      <c r="D1" s="1" t="s">
        <v>0</v>
      </c>
      <c r="F1" s="8" t="s">
        <v>22</v>
      </c>
      <c r="G1" s="8"/>
      <c r="H1" s="8"/>
      <c r="L1" s="5" t="s">
        <v>8</v>
      </c>
      <c r="M1" s="6"/>
      <c r="N1" s="7"/>
      <c r="P1" s="5" t="s">
        <v>31</v>
      </c>
      <c r="Q1" s="6"/>
      <c r="R1" s="6"/>
      <c r="S1" s="6"/>
      <c r="T1" s="6"/>
      <c r="U1" s="6"/>
      <c r="V1" s="7"/>
    </row>
    <row r="2" spans="1:22" x14ac:dyDescent="0.25">
      <c r="A2" s="1">
        <v>20</v>
      </c>
      <c r="B2" s="1">
        <v>22</v>
      </c>
      <c r="C2" s="1">
        <v>90</v>
      </c>
      <c r="D2" s="1" t="s">
        <v>1</v>
      </c>
      <c r="F2" s="2"/>
      <c r="G2" s="2"/>
      <c r="H2" s="2"/>
      <c r="L2" s="2"/>
      <c r="M2" s="2"/>
      <c r="N2" s="2"/>
      <c r="P2" s="2"/>
      <c r="Q2" s="2"/>
      <c r="R2" s="2"/>
      <c r="S2" s="2"/>
      <c r="T2" s="2"/>
      <c r="U2" s="2"/>
      <c r="V2" s="2"/>
    </row>
    <row r="3" spans="1:22" x14ac:dyDescent="0.25">
      <c r="A3" s="1">
        <v>23</v>
      </c>
      <c r="B3" s="1">
        <v>21</v>
      </c>
      <c r="C3" s="1">
        <v>60</v>
      </c>
      <c r="D3" s="1" t="s">
        <v>2</v>
      </c>
      <c r="F3" s="3"/>
      <c r="G3" s="3">
        <v>20</v>
      </c>
      <c r="H3" s="3">
        <v>22</v>
      </c>
      <c r="L3" s="3"/>
      <c r="M3" s="3">
        <v>20</v>
      </c>
      <c r="N3" s="3">
        <v>22</v>
      </c>
      <c r="P3" s="2" t="s">
        <v>32</v>
      </c>
      <c r="Q3" s="2"/>
      <c r="R3" s="2"/>
      <c r="S3" s="2"/>
      <c r="T3" s="2"/>
      <c r="U3" s="2"/>
      <c r="V3" s="2"/>
    </row>
    <row r="4" spans="1:22" x14ac:dyDescent="0.25">
      <c r="A4" s="1">
        <v>21</v>
      </c>
      <c r="B4" s="1">
        <v>20</v>
      </c>
      <c r="C4" s="1">
        <v>75</v>
      </c>
      <c r="D4" s="1" t="s">
        <v>2</v>
      </c>
      <c r="F4" s="2" t="s">
        <v>7</v>
      </c>
      <c r="G4" s="2">
        <v>22.25</v>
      </c>
      <c r="H4" s="2">
        <v>21.75</v>
      </c>
      <c r="L4" s="2" t="s">
        <v>7</v>
      </c>
      <c r="M4" s="2">
        <v>22.25</v>
      </c>
      <c r="N4" s="2">
        <v>21.75</v>
      </c>
      <c r="P4" s="3" t="s">
        <v>33</v>
      </c>
      <c r="Q4" s="3" t="s">
        <v>34</v>
      </c>
      <c r="R4" s="3" t="s">
        <v>35</v>
      </c>
      <c r="S4" s="3" t="s">
        <v>36</v>
      </c>
      <c r="T4" s="3" t="s">
        <v>9</v>
      </c>
      <c r="U4" s="2"/>
      <c r="V4" s="2"/>
    </row>
    <row r="5" spans="1:22" x14ac:dyDescent="0.25">
      <c r="A5" s="1">
        <v>23</v>
      </c>
      <c r="B5" s="1">
        <v>22</v>
      </c>
      <c r="C5" s="1">
        <v>50</v>
      </c>
      <c r="D5" s="1" t="s">
        <v>1</v>
      </c>
      <c r="F5" s="2" t="s">
        <v>23</v>
      </c>
      <c r="G5" s="2">
        <v>1.7</v>
      </c>
      <c r="H5" s="2">
        <v>2.2000000000000002</v>
      </c>
      <c r="L5" s="2" t="s">
        <v>9</v>
      </c>
      <c r="M5" s="2">
        <v>0.91666666666666663</v>
      </c>
      <c r="N5" s="2">
        <v>2.9166666666666665</v>
      </c>
      <c r="P5" s="2">
        <v>20</v>
      </c>
      <c r="Q5" s="2">
        <v>4</v>
      </c>
      <c r="R5" s="2">
        <v>89</v>
      </c>
      <c r="S5" s="2">
        <v>22.25</v>
      </c>
      <c r="T5" s="2">
        <v>0.91666666666666663</v>
      </c>
      <c r="U5" s="2"/>
      <c r="V5" s="2"/>
    </row>
    <row r="6" spans="1:22" x14ac:dyDescent="0.25">
      <c r="A6" s="1">
        <v>22</v>
      </c>
      <c r="B6" s="1">
        <v>24</v>
      </c>
      <c r="C6" s="1">
        <v>85</v>
      </c>
      <c r="D6" s="1" t="s">
        <v>2</v>
      </c>
      <c r="F6" s="2" t="s">
        <v>10</v>
      </c>
      <c r="G6" s="2">
        <v>4</v>
      </c>
      <c r="H6" s="2">
        <v>4</v>
      </c>
      <c r="L6" s="2" t="s">
        <v>10</v>
      </c>
      <c r="M6" s="2">
        <v>4</v>
      </c>
      <c r="N6" s="2">
        <v>4</v>
      </c>
      <c r="P6" s="2">
        <v>22</v>
      </c>
      <c r="Q6" s="2">
        <v>4</v>
      </c>
      <c r="R6" s="2">
        <v>87</v>
      </c>
      <c r="S6" s="2">
        <v>21.75</v>
      </c>
      <c r="T6" s="2">
        <v>2.9166666666666665</v>
      </c>
      <c r="U6" s="2"/>
      <c r="V6" s="2"/>
    </row>
    <row r="7" spans="1:22" x14ac:dyDescent="0.25">
      <c r="D7" s="1"/>
      <c r="E7" t="s">
        <v>7</v>
      </c>
      <c r="F7" s="2" t="s">
        <v>11</v>
      </c>
      <c r="G7" s="2">
        <v>20</v>
      </c>
      <c r="H7" s="2"/>
      <c r="L7" s="2" t="s">
        <v>11</v>
      </c>
      <c r="M7" s="2">
        <v>30</v>
      </c>
      <c r="N7" s="2"/>
      <c r="P7" s="2"/>
      <c r="Q7" s="2"/>
      <c r="R7" s="2"/>
      <c r="S7" s="2"/>
      <c r="T7" s="2"/>
      <c r="U7" s="2"/>
      <c r="V7" s="2"/>
    </row>
    <row r="8" spans="1:22" x14ac:dyDescent="0.25">
      <c r="E8">
        <f>AVERAGE(A2:A6)</f>
        <v>21.8</v>
      </c>
      <c r="F8" s="2" t="s">
        <v>24</v>
      </c>
      <c r="G8" s="2">
        <v>-19.748417658131498</v>
      </c>
      <c r="H8" s="2"/>
      <c r="L8" s="2" t="s">
        <v>12</v>
      </c>
      <c r="M8" s="2">
        <v>5</v>
      </c>
      <c r="N8" s="2"/>
      <c r="P8" s="2"/>
      <c r="Q8" s="2"/>
      <c r="R8" s="2"/>
      <c r="S8" s="2"/>
      <c r="T8" s="2"/>
      <c r="U8" s="2"/>
      <c r="V8" s="2"/>
    </row>
    <row r="9" spans="1:22" x14ac:dyDescent="0.25">
      <c r="C9" t="s">
        <v>6</v>
      </c>
      <c r="F9" s="2" t="s">
        <v>25</v>
      </c>
      <c r="G9" s="2">
        <v>0</v>
      </c>
      <c r="H9" s="2"/>
      <c r="L9" s="2" t="s">
        <v>13</v>
      </c>
      <c r="M9" s="2">
        <v>-30.134481188859702</v>
      </c>
      <c r="N9" s="2"/>
      <c r="P9" s="2" t="s">
        <v>37</v>
      </c>
      <c r="Q9" s="2"/>
      <c r="R9" s="2"/>
      <c r="S9" s="2"/>
      <c r="T9" s="2"/>
      <c r="U9" s="2"/>
      <c r="V9" s="2"/>
    </row>
    <row r="10" spans="1:22" x14ac:dyDescent="0.25">
      <c r="C10" t="s">
        <v>5</v>
      </c>
      <c r="F10" s="2" t="s">
        <v>26</v>
      </c>
      <c r="G10" s="2">
        <v>1.6448536269514715</v>
      </c>
      <c r="H10" s="2"/>
      <c r="L10" s="2" t="s">
        <v>14</v>
      </c>
      <c r="M10" s="2">
        <v>3.7743724390256218E-7</v>
      </c>
      <c r="N10" s="2"/>
      <c r="P10" s="3" t="s">
        <v>38</v>
      </c>
      <c r="Q10" s="3" t="s">
        <v>39</v>
      </c>
      <c r="R10" s="3" t="s">
        <v>12</v>
      </c>
      <c r="S10" s="3" t="s">
        <v>40</v>
      </c>
      <c r="T10" s="3" t="s">
        <v>1</v>
      </c>
      <c r="U10" s="3" t="s">
        <v>41</v>
      </c>
      <c r="V10" s="3" t="s">
        <v>42</v>
      </c>
    </row>
    <row r="11" spans="1:22" x14ac:dyDescent="0.25">
      <c r="F11" s="2" t="s">
        <v>27</v>
      </c>
      <c r="G11" s="2">
        <v>0</v>
      </c>
      <c r="H11" s="2"/>
      <c r="L11" s="2" t="s">
        <v>15</v>
      </c>
      <c r="M11" s="2">
        <v>2.0150483733330233</v>
      </c>
      <c r="N11" s="2"/>
      <c r="P11" s="2" t="s">
        <v>43</v>
      </c>
      <c r="Q11" s="2">
        <v>0.5</v>
      </c>
      <c r="R11" s="2">
        <v>1</v>
      </c>
      <c r="S11" s="2">
        <v>0.5</v>
      </c>
      <c r="T11" s="2">
        <v>0.2608695652173913</v>
      </c>
      <c r="U11" s="2">
        <v>0.62776580026390616</v>
      </c>
      <c r="V11" s="2">
        <v>5.9873776072737011</v>
      </c>
    </row>
    <row r="12" spans="1:22" x14ac:dyDescent="0.25">
      <c r="A12" t="s">
        <v>29</v>
      </c>
      <c r="B12" t="s">
        <v>30</v>
      </c>
      <c r="F12" s="2" t="s">
        <v>28</v>
      </c>
      <c r="G12" s="2">
        <v>1.9599639845400536</v>
      </c>
      <c r="H12" s="2"/>
      <c r="L12" s="2" t="s">
        <v>16</v>
      </c>
      <c r="M12" s="2">
        <v>7.5487448780512436E-7</v>
      </c>
      <c r="N12" s="2"/>
      <c r="P12" s="2" t="s">
        <v>44</v>
      </c>
      <c r="Q12" s="2">
        <v>11.5</v>
      </c>
      <c r="R12" s="2">
        <v>6</v>
      </c>
      <c r="S12" s="2">
        <v>1.9166666666666667</v>
      </c>
      <c r="T12" s="2"/>
      <c r="U12" s="2"/>
      <c r="V12" s="2"/>
    </row>
    <row r="13" spans="1:22" x14ac:dyDescent="0.25">
      <c r="A13">
        <f>VAR(A2:A6)</f>
        <v>1.7000000000000002</v>
      </c>
      <c r="B13">
        <f>VAR(B2:B6)</f>
        <v>2.2000000000000002</v>
      </c>
      <c r="E13" s="1"/>
      <c r="L13" s="2" t="s">
        <v>17</v>
      </c>
      <c r="M13" s="2">
        <v>2.570581835636315</v>
      </c>
      <c r="N13" s="2"/>
      <c r="P13" s="2"/>
      <c r="Q13" s="2"/>
      <c r="R13" s="2"/>
      <c r="S13" s="2"/>
      <c r="T13" s="2"/>
      <c r="U13" s="2"/>
      <c r="V13" s="2"/>
    </row>
    <row r="14" spans="1:22" x14ac:dyDescent="0.25">
      <c r="P14" s="2" t="s">
        <v>45</v>
      </c>
      <c r="Q14" s="2">
        <v>12</v>
      </c>
      <c r="R14" s="2">
        <v>7</v>
      </c>
      <c r="S14" s="2"/>
      <c r="T14" s="2"/>
      <c r="U14" s="2"/>
      <c r="V14" s="2"/>
    </row>
    <row r="15" spans="1:22" x14ac:dyDescent="0.25">
      <c r="L15" s="5" t="s">
        <v>18</v>
      </c>
      <c r="M15" s="6"/>
      <c r="N15" s="7"/>
    </row>
    <row r="16" spans="1:22" x14ac:dyDescent="0.25">
      <c r="C16" s="8" t="s">
        <v>52</v>
      </c>
      <c r="D16" s="8"/>
      <c r="E16" s="8"/>
      <c r="L16" s="2"/>
      <c r="M16" s="2"/>
      <c r="N16" s="2"/>
    </row>
    <row r="17" spans="3:22" x14ac:dyDescent="0.25">
      <c r="C17" s="9"/>
      <c r="D17" s="9">
        <v>22</v>
      </c>
      <c r="E17" s="9">
        <v>90</v>
      </c>
      <c r="L17" s="3"/>
      <c r="M17" s="3">
        <v>20</v>
      </c>
      <c r="N17" s="3">
        <v>22</v>
      </c>
      <c r="P17" s="5" t="s">
        <v>47</v>
      </c>
      <c r="Q17" s="6"/>
      <c r="R17" s="6"/>
      <c r="S17" s="6"/>
      <c r="T17" s="6"/>
      <c r="U17" s="6"/>
      <c r="V17" s="7"/>
    </row>
    <row r="18" spans="3:22" x14ac:dyDescent="0.25">
      <c r="C18" s="10">
        <v>22</v>
      </c>
      <c r="D18" s="10">
        <v>1</v>
      </c>
      <c r="E18" s="10"/>
      <c r="L18" s="2" t="s">
        <v>7</v>
      </c>
      <c r="M18" s="2">
        <v>22.25</v>
      </c>
      <c r="N18" s="2">
        <v>21.75</v>
      </c>
      <c r="P18" s="2"/>
      <c r="Q18" s="2"/>
      <c r="R18" s="2"/>
      <c r="S18" s="2"/>
      <c r="T18" s="2"/>
      <c r="U18" s="2"/>
      <c r="V18" s="2"/>
    </row>
    <row r="19" spans="3:22" x14ac:dyDescent="0.25">
      <c r="C19" s="10">
        <v>90</v>
      </c>
      <c r="D19" s="10">
        <v>0.34527065131588947</v>
      </c>
      <c r="E19" s="10">
        <v>1</v>
      </c>
      <c r="L19" s="2" t="s">
        <v>9</v>
      </c>
      <c r="M19" s="2">
        <v>0.91666666666666663</v>
      </c>
      <c r="N19" s="2">
        <v>2.9166666666666665</v>
      </c>
      <c r="P19" s="2" t="s">
        <v>32</v>
      </c>
      <c r="Q19" s="2">
        <v>22</v>
      </c>
      <c r="R19" s="2">
        <v>90</v>
      </c>
      <c r="S19" s="2" t="s">
        <v>45</v>
      </c>
      <c r="T19" s="2"/>
      <c r="U19" s="2"/>
      <c r="V19" s="2"/>
    </row>
    <row r="20" spans="3:22" x14ac:dyDescent="0.25">
      <c r="L20" s="2" t="s">
        <v>10</v>
      </c>
      <c r="M20" s="2">
        <v>4</v>
      </c>
      <c r="N20" s="2">
        <v>4</v>
      </c>
      <c r="P20" s="4">
        <v>23</v>
      </c>
      <c r="Q20" s="4"/>
      <c r="R20" s="4"/>
      <c r="S20" s="4"/>
      <c r="T20" s="2"/>
      <c r="U20" s="2"/>
      <c r="V20" s="2"/>
    </row>
    <row r="21" spans="3:22" x14ac:dyDescent="0.25">
      <c r="C21" s="8" t="s">
        <v>53</v>
      </c>
      <c r="D21" s="8"/>
      <c r="E21" s="8"/>
      <c r="L21" s="2" t="s">
        <v>19</v>
      </c>
      <c r="M21" s="2">
        <v>1.9166666666666667</v>
      </c>
      <c r="N21" s="2"/>
      <c r="P21" s="2" t="s">
        <v>34</v>
      </c>
      <c r="Q21" s="2">
        <v>1</v>
      </c>
      <c r="R21" s="2">
        <v>1</v>
      </c>
      <c r="S21" s="2">
        <v>2</v>
      </c>
      <c r="T21" s="2"/>
      <c r="U21" s="2"/>
      <c r="V21" s="2"/>
    </row>
    <row r="22" spans="3:22" x14ac:dyDescent="0.25">
      <c r="C22" s="9"/>
      <c r="D22" s="9">
        <v>20</v>
      </c>
      <c r="E22" s="9">
        <v>22</v>
      </c>
      <c r="L22" s="2" t="s">
        <v>11</v>
      </c>
      <c r="M22" s="2">
        <v>30</v>
      </c>
      <c r="N22" s="2"/>
      <c r="P22" s="2" t="s">
        <v>35</v>
      </c>
      <c r="Q22" s="2">
        <v>21</v>
      </c>
      <c r="R22" s="2">
        <v>60</v>
      </c>
      <c r="S22" s="2">
        <v>81</v>
      </c>
      <c r="T22" s="2"/>
      <c r="U22" s="2"/>
      <c r="V22" s="2"/>
    </row>
    <row r="23" spans="3:22" x14ac:dyDescent="0.25">
      <c r="C23" s="10">
        <v>20</v>
      </c>
      <c r="D23" s="10">
        <f>VARP('t-test'!$A$3:$A$6)</f>
        <v>0.6875</v>
      </c>
      <c r="E23" s="10"/>
      <c r="L23" s="2" t="s">
        <v>12</v>
      </c>
      <c r="M23" s="2">
        <v>6</v>
      </c>
      <c r="N23" s="2"/>
      <c r="P23" s="2" t="s">
        <v>36</v>
      </c>
      <c r="Q23" s="2">
        <v>21</v>
      </c>
      <c r="R23" s="2">
        <v>60</v>
      </c>
      <c r="S23" s="2">
        <v>40.5</v>
      </c>
      <c r="T23" s="2"/>
      <c r="U23" s="2"/>
      <c r="V23" s="2"/>
    </row>
    <row r="24" spans="3:22" x14ac:dyDescent="0.25">
      <c r="C24" s="10">
        <v>22</v>
      </c>
      <c r="D24" s="10">
        <v>0.3125</v>
      </c>
      <c r="E24" s="10">
        <f>VARP('t-test'!$B$3:$B$6)</f>
        <v>2.1875</v>
      </c>
      <c r="L24" s="2" t="s">
        <v>13</v>
      </c>
      <c r="M24" s="2">
        <v>-30.134481188859702</v>
      </c>
      <c r="N24" s="2"/>
      <c r="P24" s="2" t="s">
        <v>9</v>
      </c>
      <c r="Q24" s="2" t="e">
        <v>#DIV/0!</v>
      </c>
      <c r="R24" s="2" t="e">
        <v>#DIV/0!</v>
      </c>
      <c r="S24" s="2">
        <v>760.5</v>
      </c>
      <c r="T24" s="2"/>
      <c r="U24" s="2"/>
      <c r="V24" s="2"/>
    </row>
    <row r="25" spans="3:22" x14ac:dyDescent="0.25">
      <c r="L25" s="2" t="s">
        <v>14</v>
      </c>
      <c r="M25" s="2">
        <v>4.4297901288177194E-8</v>
      </c>
      <c r="N25" s="2"/>
      <c r="P25" s="2"/>
      <c r="Q25" s="2"/>
      <c r="R25" s="2"/>
      <c r="S25" s="2"/>
      <c r="T25" s="2"/>
      <c r="U25" s="2"/>
      <c r="V25" s="2"/>
    </row>
    <row r="26" spans="3:22" x14ac:dyDescent="0.25">
      <c r="L26" s="2" t="s">
        <v>15</v>
      </c>
      <c r="M26" s="2">
        <v>1.9431802805153031</v>
      </c>
      <c r="N26" s="2"/>
      <c r="P26" s="4">
        <v>21</v>
      </c>
      <c r="Q26" s="4"/>
      <c r="R26" s="4"/>
      <c r="S26" s="4"/>
      <c r="T26" s="2"/>
      <c r="U26" s="2"/>
      <c r="V26" s="2"/>
    </row>
    <row r="27" spans="3:22" x14ac:dyDescent="0.25">
      <c r="L27" s="2" t="s">
        <v>16</v>
      </c>
      <c r="M27" s="2">
        <v>8.8595802576354388E-8</v>
      </c>
      <c r="N27" s="2"/>
      <c r="P27" s="2" t="s">
        <v>34</v>
      </c>
      <c r="Q27" s="2">
        <v>1</v>
      </c>
      <c r="R27" s="2">
        <v>1</v>
      </c>
      <c r="S27" s="2">
        <v>2</v>
      </c>
      <c r="T27" s="2"/>
      <c r="U27" s="2"/>
      <c r="V27" s="2"/>
    </row>
    <row r="28" spans="3:22" x14ac:dyDescent="0.25">
      <c r="L28" s="2" t="s">
        <v>17</v>
      </c>
      <c r="M28" s="2">
        <v>2.4469118511449697</v>
      </c>
      <c r="N28" s="2"/>
      <c r="P28" s="2" t="s">
        <v>35</v>
      </c>
      <c r="Q28" s="2">
        <v>20</v>
      </c>
      <c r="R28" s="2">
        <v>75</v>
      </c>
      <c r="S28" s="2">
        <v>95</v>
      </c>
      <c r="T28" s="2"/>
      <c r="U28" s="2"/>
      <c r="V28" s="2"/>
    </row>
    <row r="29" spans="3:22" x14ac:dyDescent="0.25">
      <c r="P29" s="2" t="s">
        <v>36</v>
      </c>
      <c r="Q29" s="2">
        <v>20</v>
      </c>
      <c r="R29" s="2">
        <v>75</v>
      </c>
      <c r="S29" s="2">
        <v>47.5</v>
      </c>
      <c r="T29" s="2"/>
      <c r="U29" s="2"/>
      <c r="V29" s="2"/>
    </row>
    <row r="30" spans="3:22" x14ac:dyDescent="0.25">
      <c r="L30" s="8" t="s">
        <v>20</v>
      </c>
      <c r="M30" s="8"/>
      <c r="N30" s="8"/>
      <c r="P30" s="2" t="s">
        <v>9</v>
      </c>
      <c r="Q30" s="2" t="e">
        <v>#DIV/0!</v>
      </c>
      <c r="R30" s="2" t="e">
        <v>#DIV/0!</v>
      </c>
      <c r="S30" s="2">
        <v>1512.5</v>
      </c>
      <c r="T30" s="2"/>
      <c r="U30" s="2"/>
      <c r="V30" s="2"/>
    </row>
    <row r="31" spans="3:22" x14ac:dyDescent="0.25">
      <c r="L31" s="2"/>
      <c r="M31" s="2"/>
      <c r="N31" s="2"/>
      <c r="P31" s="2"/>
      <c r="Q31" s="2"/>
      <c r="R31" s="2"/>
      <c r="S31" s="2"/>
      <c r="T31" s="2"/>
      <c r="U31" s="2"/>
      <c r="V31" s="2"/>
    </row>
    <row r="32" spans="3:22" x14ac:dyDescent="0.25">
      <c r="L32" s="3"/>
      <c r="M32" s="3">
        <v>22</v>
      </c>
      <c r="N32" s="3">
        <v>20</v>
      </c>
      <c r="P32" s="4">
        <v>23</v>
      </c>
      <c r="Q32" s="4"/>
      <c r="R32" s="4"/>
      <c r="S32" s="4"/>
      <c r="T32" s="2"/>
      <c r="U32" s="2"/>
      <c r="V32" s="2"/>
    </row>
    <row r="33" spans="6:22" x14ac:dyDescent="0.25">
      <c r="L33" s="2" t="s">
        <v>7</v>
      </c>
      <c r="M33" s="2">
        <v>21.75</v>
      </c>
      <c r="N33" s="2">
        <v>22.25</v>
      </c>
      <c r="P33" s="2" t="s">
        <v>34</v>
      </c>
      <c r="Q33" s="2">
        <v>1</v>
      </c>
      <c r="R33" s="2">
        <v>1</v>
      </c>
      <c r="S33" s="2">
        <v>2</v>
      </c>
      <c r="T33" s="2"/>
      <c r="U33" s="2"/>
      <c r="V33" s="2"/>
    </row>
    <row r="34" spans="6:22" x14ac:dyDescent="0.25">
      <c r="L34" s="2" t="s">
        <v>9</v>
      </c>
      <c r="M34" s="2">
        <v>2.9166666666666665</v>
      </c>
      <c r="N34" s="2">
        <v>0.91666666666666663</v>
      </c>
      <c r="P34" s="2" t="s">
        <v>35</v>
      </c>
      <c r="Q34" s="2">
        <v>22</v>
      </c>
      <c r="R34" s="2">
        <v>50</v>
      </c>
      <c r="S34" s="2">
        <v>72</v>
      </c>
      <c r="T34" s="2"/>
      <c r="U34" s="2"/>
      <c r="V34" s="2"/>
    </row>
    <row r="35" spans="6:22" x14ac:dyDescent="0.25">
      <c r="L35" s="2" t="s">
        <v>10</v>
      </c>
      <c r="M35" s="2">
        <v>4</v>
      </c>
      <c r="N35" s="2">
        <v>4</v>
      </c>
      <c r="P35" s="2" t="s">
        <v>36</v>
      </c>
      <c r="Q35" s="2">
        <v>22</v>
      </c>
      <c r="R35" s="2">
        <v>50</v>
      </c>
      <c r="S35" s="2">
        <v>36</v>
      </c>
      <c r="T35" s="2"/>
      <c r="U35" s="2"/>
      <c r="V35" s="2"/>
    </row>
    <row r="36" spans="6:22" x14ac:dyDescent="0.25">
      <c r="L36" s="2" t="s">
        <v>21</v>
      </c>
      <c r="M36" s="2">
        <v>0.2548235957188128</v>
      </c>
      <c r="N36" s="2"/>
      <c r="P36" s="2" t="s">
        <v>9</v>
      </c>
      <c r="Q36" s="2" t="e">
        <v>#DIV/0!</v>
      </c>
      <c r="R36" s="2" t="e">
        <v>#DIV/0!</v>
      </c>
      <c r="S36" s="2">
        <v>392</v>
      </c>
      <c r="T36" s="2"/>
      <c r="U36" s="2"/>
      <c r="V36" s="2"/>
    </row>
    <row r="37" spans="6:22" x14ac:dyDescent="0.25">
      <c r="L37" s="2" t="s">
        <v>11</v>
      </c>
      <c r="M37" s="2">
        <v>20</v>
      </c>
      <c r="N37" s="2"/>
      <c r="P37" s="2"/>
      <c r="Q37" s="2"/>
      <c r="R37" s="2"/>
      <c r="S37" s="2"/>
      <c r="T37" s="2"/>
      <c r="U37" s="2"/>
      <c r="V37" s="2"/>
    </row>
    <row r="38" spans="6:22" x14ac:dyDescent="0.25">
      <c r="L38" s="2" t="s">
        <v>12</v>
      </c>
      <c r="M38" s="2">
        <v>3</v>
      </c>
      <c r="N38" s="2"/>
      <c r="P38" s="4">
        <v>22</v>
      </c>
      <c r="Q38" s="4"/>
      <c r="R38" s="4"/>
      <c r="S38" s="4"/>
      <c r="T38" s="2"/>
      <c r="U38" s="2"/>
      <c r="V38" s="2"/>
    </row>
    <row r="39" spans="6:22" x14ac:dyDescent="0.25">
      <c r="L39" s="2" t="s">
        <v>13</v>
      </c>
      <c r="M39" s="2">
        <v>-23.671361036774659</v>
      </c>
      <c r="N39" s="2"/>
      <c r="P39" s="2" t="s">
        <v>34</v>
      </c>
      <c r="Q39" s="2">
        <v>1</v>
      </c>
      <c r="R39" s="2">
        <v>1</v>
      </c>
      <c r="S39" s="2">
        <v>2</v>
      </c>
      <c r="T39" s="2"/>
      <c r="U39" s="2"/>
      <c r="V39" s="2"/>
    </row>
    <row r="40" spans="6:22" x14ac:dyDescent="0.25">
      <c r="L40" s="2" t="s">
        <v>14</v>
      </c>
      <c r="M40" s="2">
        <v>8.260148369821419E-5</v>
      </c>
      <c r="N40" s="2"/>
      <c r="P40" s="2" t="s">
        <v>35</v>
      </c>
      <c r="Q40" s="2">
        <v>24</v>
      </c>
      <c r="R40" s="2">
        <v>85</v>
      </c>
      <c r="S40" s="2">
        <v>109</v>
      </c>
      <c r="T40" s="2"/>
      <c r="U40" s="2"/>
      <c r="V40" s="2"/>
    </row>
    <row r="41" spans="6:22" x14ac:dyDescent="0.25">
      <c r="L41" s="2" t="s">
        <v>15</v>
      </c>
      <c r="M41" s="2">
        <v>2.3533634348018233</v>
      </c>
      <c r="N41" s="2"/>
      <c r="P41" s="2" t="s">
        <v>36</v>
      </c>
      <c r="Q41" s="2">
        <v>24</v>
      </c>
      <c r="R41" s="2">
        <v>85</v>
      </c>
      <c r="S41" s="2">
        <v>54.5</v>
      </c>
      <c r="T41" s="2"/>
      <c r="U41" s="2"/>
      <c r="V41" s="2"/>
    </row>
    <row r="42" spans="6:22" x14ac:dyDescent="0.25">
      <c r="L42" s="2" t="s">
        <v>16</v>
      </c>
      <c r="M42" s="2">
        <v>1.6520296739642838E-4</v>
      </c>
      <c r="N42" s="2"/>
      <c r="P42" s="2" t="s">
        <v>9</v>
      </c>
      <c r="Q42" s="2" t="e">
        <v>#DIV/0!</v>
      </c>
      <c r="R42" s="2" t="e">
        <v>#DIV/0!</v>
      </c>
      <c r="S42" s="2">
        <v>1860.5</v>
      </c>
      <c r="T42" s="2"/>
      <c r="U42" s="2"/>
      <c r="V42" s="2"/>
    </row>
    <row r="43" spans="6:22" x14ac:dyDescent="0.25">
      <c r="L43" s="2" t="s">
        <v>17</v>
      </c>
      <c r="M43" s="2">
        <v>3.1824463052837091</v>
      </c>
      <c r="N43" s="2"/>
      <c r="P43" s="2"/>
      <c r="Q43" s="2"/>
      <c r="R43" s="2"/>
      <c r="S43" s="2"/>
      <c r="T43" s="2"/>
      <c r="U43" s="2"/>
      <c r="V43" s="2"/>
    </row>
    <row r="44" spans="6:22" x14ac:dyDescent="0.25">
      <c r="P44" s="4" t="s">
        <v>45</v>
      </c>
      <c r="Q44" s="4"/>
      <c r="R44" s="4"/>
      <c r="S44" s="4"/>
      <c r="T44" s="4"/>
      <c r="U44" s="4"/>
      <c r="V44" s="2"/>
    </row>
    <row r="45" spans="6:22" x14ac:dyDescent="0.25">
      <c r="P45" s="2" t="s">
        <v>34</v>
      </c>
      <c r="Q45" s="2">
        <v>4</v>
      </c>
      <c r="R45" s="2">
        <v>4</v>
      </c>
      <c r="S45" s="2"/>
      <c r="T45" s="2"/>
      <c r="U45" s="2"/>
      <c r="V45" s="2"/>
    </row>
    <row r="46" spans="6:22" x14ac:dyDescent="0.25">
      <c r="P46" s="2" t="s">
        <v>35</v>
      </c>
      <c r="Q46" s="2">
        <v>87</v>
      </c>
      <c r="R46" s="2">
        <v>270</v>
      </c>
      <c r="S46" s="2"/>
      <c r="T46" s="2"/>
      <c r="U46" s="2"/>
      <c r="V46" s="2"/>
    </row>
    <row r="47" spans="6:22" x14ac:dyDescent="0.25">
      <c r="F47" s="5" t="s">
        <v>57</v>
      </c>
      <c r="G47" s="6"/>
      <c r="H47" s="6"/>
      <c r="I47" s="6"/>
      <c r="J47" s="6"/>
      <c r="K47" s="6"/>
      <c r="L47" s="6"/>
      <c r="M47" s="6"/>
      <c r="N47" s="7"/>
      <c r="P47" s="2" t="s">
        <v>36</v>
      </c>
      <c r="Q47" s="2">
        <v>21.75</v>
      </c>
      <c r="R47" s="2">
        <v>67.5</v>
      </c>
      <c r="S47" s="2"/>
      <c r="T47" s="2"/>
      <c r="U47" s="2"/>
      <c r="V47" s="2"/>
    </row>
    <row r="48" spans="6:22" x14ac:dyDescent="0.25">
      <c r="F48" s="2"/>
      <c r="G48" s="2"/>
      <c r="H48" s="2"/>
      <c r="I48" s="2"/>
      <c r="J48" s="2"/>
      <c r="K48" s="2"/>
      <c r="L48" s="2"/>
      <c r="M48" s="2"/>
      <c r="N48" s="2"/>
      <c r="P48" s="2" t="s">
        <v>9</v>
      </c>
      <c r="Q48" s="2">
        <v>2.9166666666666665</v>
      </c>
      <c r="R48" s="2">
        <v>241.66666666666666</v>
      </c>
      <c r="S48" s="2"/>
      <c r="T48" s="2"/>
      <c r="U48" s="2"/>
      <c r="V48" s="2"/>
    </row>
    <row r="49" spans="6:22" x14ac:dyDescent="0.25">
      <c r="F49" s="11" t="s">
        <v>58</v>
      </c>
      <c r="G49" s="11"/>
      <c r="H49" s="2"/>
      <c r="I49" s="2"/>
      <c r="J49" s="2"/>
      <c r="K49" s="2"/>
      <c r="L49" s="2"/>
      <c r="M49" s="2"/>
      <c r="N49" s="2"/>
      <c r="P49" s="2"/>
      <c r="Q49" s="2"/>
      <c r="R49" s="2"/>
      <c r="S49" s="2"/>
      <c r="T49" s="2"/>
      <c r="U49" s="2"/>
      <c r="V49" s="2"/>
    </row>
    <row r="50" spans="6:22" x14ac:dyDescent="0.25">
      <c r="F50" s="10" t="s">
        <v>59</v>
      </c>
      <c r="G50" s="10">
        <v>0.99764769890944105</v>
      </c>
      <c r="H50" s="2"/>
      <c r="I50" s="2"/>
      <c r="J50" s="2"/>
      <c r="K50" s="2"/>
      <c r="L50" s="2"/>
      <c r="M50" s="2"/>
      <c r="N50" s="2"/>
      <c r="P50" s="2"/>
      <c r="Q50" s="2"/>
      <c r="R50" s="2"/>
      <c r="S50" s="2"/>
      <c r="T50" s="2"/>
      <c r="U50" s="2"/>
      <c r="V50" s="2"/>
    </row>
    <row r="51" spans="6:22" x14ac:dyDescent="0.25">
      <c r="F51" s="10" t="s">
        <v>60</v>
      </c>
      <c r="G51" s="10">
        <v>0.99530093113930274</v>
      </c>
      <c r="H51" s="2"/>
      <c r="I51" s="2"/>
      <c r="J51" s="2"/>
      <c r="K51" s="2"/>
      <c r="L51" s="2"/>
      <c r="M51" s="2"/>
      <c r="N51" s="2"/>
      <c r="P51" s="2" t="s">
        <v>37</v>
      </c>
      <c r="Q51" s="2"/>
      <c r="R51" s="2"/>
      <c r="S51" s="2"/>
      <c r="T51" s="2"/>
      <c r="U51" s="2"/>
      <c r="V51" s="2"/>
    </row>
    <row r="52" spans="6:22" x14ac:dyDescent="0.25">
      <c r="F52" s="10" t="s">
        <v>61</v>
      </c>
      <c r="G52" s="10">
        <v>0.66196759780596937</v>
      </c>
      <c r="H52" s="2"/>
      <c r="I52" s="2"/>
      <c r="J52" s="2"/>
      <c r="K52" s="2"/>
      <c r="L52" s="2"/>
      <c r="M52" s="2"/>
      <c r="N52" s="2"/>
      <c r="P52" s="3" t="s">
        <v>38</v>
      </c>
      <c r="Q52" s="3" t="s">
        <v>39</v>
      </c>
      <c r="R52" s="3" t="s">
        <v>12</v>
      </c>
      <c r="S52" s="3" t="s">
        <v>40</v>
      </c>
      <c r="T52" s="3" t="s">
        <v>1</v>
      </c>
      <c r="U52" s="3" t="s">
        <v>41</v>
      </c>
      <c r="V52" s="3" t="s">
        <v>42</v>
      </c>
    </row>
    <row r="53" spans="6:22" x14ac:dyDescent="0.25">
      <c r="F53" s="10" t="s">
        <v>62</v>
      </c>
      <c r="G53" s="10">
        <v>1.7255849157300829</v>
      </c>
      <c r="H53" s="2"/>
      <c r="I53" s="2"/>
      <c r="J53" s="2"/>
      <c r="K53" s="2"/>
      <c r="L53" s="2"/>
      <c r="M53" s="2"/>
      <c r="N53" s="2"/>
      <c r="P53" s="2" t="s">
        <v>48</v>
      </c>
      <c r="Q53" s="2">
        <v>394.375</v>
      </c>
      <c r="R53" s="2">
        <v>3</v>
      </c>
      <c r="S53" s="2">
        <v>131.45833333333334</v>
      </c>
      <c r="T53" s="2">
        <v>65535</v>
      </c>
      <c r="U53" s="2" t="e">
        <v>#NUM!</v>
      </c>
      <c r="V53" s="2" t="e">
        <v>#NUM!</v>
      </c>
    </row>
    <row r="54" spans="6:22" x14ac:dyDescent="0.25">
      <c r="F54" s="10" t="s">
        <v>10</v>
      </c>
      <c r="G54" s="10">
        <v>4</v>
      </c>
      <c r="H54" s="2"/>
      <c r="I54" s="2"/>
      <c r="J54" s="2"/>
      <c r="K54" s="2"/>
      <c r="L54" s="2"/>
      <c r="M54" s="2"/>
      <c r="N54" s="2"/>
      <c r="P54" s="2" t="s">
        <v>49</v>
      </c>
      <c r="Q54" s="2">
        <v>4186.125</v>
      </c>
      <c r="R54" s="2">
        <v>1</v>
      </c>
      <c r="S54" s="2">
        <v>4186.125</v>
      </c>
      <c r="T54" s="2">
        <v>65535</v>
      </c>
      <c r="U54" s="2" t="e">
        <v>#NUM!</v>
      </c>
      <c r="V54" s="2" t="e">
        <v>#NUM!</v>
      </c>
    </row>
    <row r="55" spans="6:22" x14ac:dyDescent="0.25">
      <c r="F55" s="2"/>
      <c r="G55" s="2"/>
      <c r="H55" s="2"/>
      <c r="I55" s="2"/>
      <c r="J55" s="2"/>
      <c r="K55" s="2"/>
      <c r="L55" s="2"/>
      <c r="M55" s="2"/>
      <c r="N55" s="2"/>
      <c r="P55" s="2" t="s">
        <v>50</v>
      </c>
      <c r="Q55" s="2">
        <v>339.375</v>
      </c>
      <c r="R55" s="2">
        <v>3</v>
      </c>
      <c r="S55" s="2">
        <v>113.125</v>
      </c>
      <c r="T55" s="2">
        <v>65535</v>
      </c>
      <c r="U55" s="2" t="e">
        <v>#NUM!</v>
      </c>
      <c r="V55" s="2" t="e">
        <v>#NUM!</v>
      </c>
    </row>
    <row r="56" spans="6:22" x14ac:dyDescent="0.25">
      <c r="F56" s="2" t="s">
        <v>37</v>
      </c>
      <c r="G56" s="2"/>
      <c r="H56" s="2"/>
      <c r="I56" s="2"/>
      <c r="J56" s="2"/>
      <c r="K56" s="2"/>
      <c r="L56" s="2"/>
      <c r="M56" s="2"/>
      <c r="N56" s="2"/>
      <c r="P56" s="2" t="s">
        <v>51</v>
      </c>
      <c r="Q56" s="2">
        <v>0</v>
      </c>
      <c r="R56" s="2">
        <v>0</v>
      </c>
      <c r="S56" s="2">
        <v>65535</v>
      </c>
      <c r="T56" s="2"/>
      <c r="U56" s="2"/>
      <c r="V56" s="2"/>
    </row>
    <row r="57" spans="6:22" x14ac:dyDescent="0.25">
      <c r="F57" s="9"/>
      <c r="G57" s="9" t="s">
        <v>12</v>
      </c>
      <c r="H57" s="9" t="s">
        <v>39</v>
      </c>
      <c r="I57" s="9" t="s">
        <v>40</v>
      </c>
      <c r="J57" s="9" t="s">
        <v>1</v>
      </c>
      <c r="K57" s="9" t="s">
        <v>66</v>
      </c>
      <c r="L57" s="2"/>
      <c r="M57" s="2"/>
      <c r="N57" s="2"/>
      <c r="P57" s="2"/>
      <c r="Q57" s="2"/>
      <c r="R57" s="2"/>
      <c r="S57" s="2"/>
      <c r="T57" s="2"/>
      <c r="U57" s="2"/>
      <c r="V57" s="2"/>
    </row>
    <row r="58" spans="6:22" x14ac:dyDescent="0.25">
      <c r="F58" s="10" t="s">
        <v>63</v>
      </c>
      <c r="G58" s="10">
        <v>1</v>
      </c>
      <c r="H58" s="10">
        <v>1892.0670700958144</v>
      </c>
      <c r="I58" s="10">
        <v>1892.0670700958144</v>
      </c>
      <c r="J58" s="10">
        <v>635.42435361860578</v>
      </c>
      <c r="K58" s="10">
        <v>1.570046130382665E-3</v>
      </c>
      <c r="L58" s="2"/>
      <c r="M58" s="2"/>
      <c r="N58" s="2"/>
      <c r="P58" s="2" t="s">
        <v>45</v>
      </c>
      <c r="Q58" s="2">
        <v>4919.875</v>
      </c>
      <c r="R58" s="2">
        <v>7</v>
      </c>
      <c r="S58" s="2"/>
      <c r="T58" s="2"/>
      <c r="U58" s="2"/>
      <c r="V58" s="2"/>
    </row>
    <row r="59" spans="6:22" x14ac:dyDescent="0.25">
      <c r="F59" s="10" t="s">
        <v>64</v>
      </c>
      <c r="G59" s="10">
        <v>3</v>
      </c>
      <c r="H59" s="10">
        <v>8.9329299041855919</v>
      </c>
      <c r="I59" s="10">
        <v>2.9776433013951973</v>
      </c>
      <c r="J59" s="10"/>
      <c r="K59" s="10"/>
      <c r="L59" s="2"/>
      <c r="M59" s="2"/>
      <c r="N59" s="2"/>
    </row>
    <row r="60" spans="6:22" x14ac:dyDescent="0.25">
      <c r="F60" s="10" t="s">
        <v>45</v>
      </c>
      <c r="G60" s="10">
        <v>4</v>
      </c>
      <c r="H60" s="10">
        <v>1901</v>
      </c>
      <c r="I60" s="10"/>
      <c r="J60" s="10"/>
      <c r="K60" s="10"/>
      <c r="L60" s="2"/>
      <c r="M60" s="2"/>
      <c r="N60" s="2"/>
      <c r="P60" s="5" t="s">
        <v>54</v>
      </c>
      <c r="Q60" s="6"/>
      <c r="R60" s="6"/>
      <c r="S60" s="6"/>
      <c r="T60" s="6"/>
      <c r="U60" s="6"/>
      <c r="V60" s="7"/>
    </row>
    <row r="61" spans="6:22" x14ac:dyDescent="0.25">
      <c r="F61" s="2"/>
      <c r="G61" s="2"/>
      <c r="H61" s="2"/>
      <c r="I61" s="2"/>
      <c r="J61" s="2"/>
      <c r="K61" s="2"/>
      <c r="L61" s="2"/>
      <c r="M61" s="2"/>
      <c r="N61" s="2"/>
      <c r="P61" s="2"/>
      <c r="Q61" s="2"/>
      <c r="R61" s="2"/>
      <c r="S61" s="2"/>
      <c r="T61" s="2"/>
      <c r="U61" s="2"/>
      <c r="V61" s="2"/>
    </row>
    <row r="62" spans="6:22" x14ac:dyDescent="0.25">
      <c r="F62" s="9"/>
      <c r="G62" s="9" t="s">
        <v>67</v>
      </c>
      <c r="H62" s="9" t="s">
        <v>62</v>
      </c>
      <c r="I62" s="9" t="s">
        <v>13</v>
      </c>
      <c r="J62" s="9" t="s">
        <v>41</v>
      </c>
      <c r="K62" s="9" t="s">
        <v>68</v>
      </c>
      <c r="L62" s="9" t="s">
        <v>69</v>
      </c>
      <c r="M62" s="9" t="s">
        <v>70</v>
      </c>
      <c r="N62" s="9" t="s">
        <v>71</v>
      </c>
      <c r="P62" s="9" t="s">
        <v>32</v>
      </c>
      <c r="Q62" s="9" t="s">
        <v>34</v>
      </c>
      <c r="R62" s="9" t="s">
        <v>35</v>
      </c>
      <c r="S62" s="9" t="s">
        <v>36</v>
      </c>
      <c r="T62" s="9" t="s">
        <v>9</v>
      </c>
      <c r="U62" s="2"/>
      <c r="V62" s="2"/>
    </row>
    <row r="63" spans="6:22" x14ac:dyDescent="0.25">
      <c r="F63" s="10" t="s">
        <v>65</v>
      </c>
      <c r="G63" s="10">
        <v>0</v>
      </c>
      <c r="H63" s="10" t="e">
        <v>#N/A</v>
      </c>
      <c r="I63" s="10" t="e">
        <v>#N/A</v>
      </c>
      <c r="J63" s="10" t="e">
        <v>#N/A</v>
      </c>
      <c r="K63" s="10" t="e">
        <v>#N/A</v>
      </c>
      <c r="L63" s="10" t="e">
        <v>#N/A</v>
      </c>
      <c r="M63" s="10" t="e">
        <v>#N/A</v>
      </c>
      <c r="N63" s="10" t="e">
        <v>#N/A</v>
      </c>
      <c r="P63" s="10">
        <v>23</v>
      </c>
      <c r="Q63" s="10">
        <v>1</v>
      </c>
      <c r="R63" s="10">
        <v>21</v>
      </c>
      <c r="S63" s="10">
        <v>21</v>
      </c>
      <c r="T63" s="10" t="e">
        <v>#DIV/0!</v>
      </c>
      <c r="U63" s="2"/>
      <c r="V63" s="2"/>
    </row>
    <row r="64" spans="6:22" x14ac:dyDescent="0.25">
      <c r="F64" s="10">
        <v>20</v>
      </c>
      <c r="G64" s="10">
        <v>0.97680282400403429</v>
      </c>
      <c r="H64" s="10">
        <v>3.8750291924755292E-2</v>
      </c>
      <c r="I64" s="10">
        <v>25.207624910304538</v>
      </c>
      <c r="J64" s="10">
        <v>1.3690519379001839E-4</v>
      </c>
      <c r="K64" s="10">
        <v>0.85348210063943164</v>
      </c>
      <c r="L64" s="10">
        <v>1.1001235473686368</v>
      </c>
      <c r="M64" s="10">
        <v>0.85348210063943164</v>
      </c>
      <c r="N64" s="10">
        <v>1.1001235473686368</v>
      </c>
      <c r="P64" s="10">
        <v>21</v>
      </c>
      <c r="Q64" s="10">
        <v>1</v>
      </c>
      <c r="R64" s="10">
        <v>20</v>
      </c>
      <c r="S64" s="10">
        <v>20</v>
      </c>
      <c r="T64" s="10" t="e">
        <v>#DIV/0!</v>
      </c>
      <c r="U64" s="2"/>
      <c r="V64" s="2"/>
    </row>
    <row r="65" spans="16:22" x14ac:dyDescent="0.25">
      <c r="P65" s="10">
        <v>23</v>
      </c>
      <c r="Q65" s="10">
        <v>1</v>
      </c>
      <c r="R65" s="10">
        <v>22</v>
      </c>
      <c r="S65" s="10">
        <v>22</v>
      </c>
      <c r="T65" s="10" t="e">
        <v>#DIV/0!</v>
      </c>
      <c r="U65" s="2"/>
      <c r="V65" s="2"/>
    </row>
    <row r="66" spans="16:22" x14ac:dyDescent="0.25">
      <c r="P66" s="10">
        <v>22</v>
      </c>
      <c r="Q66" s="10">
        <v>1</v>
      </c>
      <c r="R66" s="10">
        <v>24</v>
      </c>
      <c r="S66" s="10">
        <v>24</v>
      </c>
      <c r="T66" s="10" t="e">
        <v>#DIV/0!</v>
      </c>
      <c r="U66" s="2"/>
      <c r="V66" s="2"/>
    </row>
    <row r="67" spans="16:22" x14ac:dyDescent="0.25">
      <c r="P67" s="10"/>
      <c r="Q67" s="10"/>
      <c r="R67" s="10"/>
      <c r="S67" s="10"/>
      <c r="T67" s="10"/>
      <c r="U67" s="2"/>
      <c r="V67" s="2"/>
    </row>
    <row r="68" spans="16:22" x14ac:dyDescent="0.25">
      <c r="P68" s="10">
        <v>22</v>
      </c>
      <c r="Q68" s="10">
        <v>4</v>
      </c>
      <c r="R68" s="10">
        <v>87</v>
      </c>
      <c r="S68" s="10">
        <v>21.75</v>
      </c>
      <c r="T68" s="10">
        <v>2.9166666666666665</v>
      </c>
      <c r="U68" s="2"/>
      <c r="V68" s="2"/>
    </row>
    <row r="69" spans="16:22" x14ac:dyDescent="0.25">
      <c r="P69" s="2"/>
      <c r="Q69" s="2"/>
      <c r="R69" s="2"/>
      <c r="S69" s="2"/>
      <c r="T69" s="2"/>
      <c r="U69" s="2"/>
      <c r="V69" s="2"/>
    </row>
    <row r="70" spans="16:22" x14ac:dyDescent="0.25">
      <c r="P70" s="2"/>
      <c r="Q70" s="2"/>
      <c r="R70" s="2"/>
      <c r="S70" s="2"/>
      <c r="T70" s="2"/>
      <c r="U70" s="2"/>
      <c r="V70" s="2"/>
    </row>
    <row r="71" spans="16:22" x14ac:dyDescent="0.25">
      <c r="P71" s="2" t="s">
        <v>37</v>
      </c>
      <c r="Q71" s="2"/>
      <c r="R71" s="2"/>
      <c r="S71" s="2"/>
      <c r="T71" s="2"/>
      <c r="U71" s="2"/>
      <c r="V71" s="2"/>
    </row>
    <row r="72" spans="16:22" x14ac:dyDescent="0.25">
      <c r="P72" s="2" t="s">
        <v>38</v>
      </c>
      <c r="Q72" s="2" t="s">
        <v>39</v>
      </c>
      <c r="R72" s="2" t="s">
        <v>12</v>
      </c>
      <c r="S72" s="2" t="s">
        <v>40</v>
      </c>
      <c r="T72" s="2" t="s">
        <v>1</v>
      </c>
      <c r="U72" s="2" t="s">
        <v>41</v>
      </c>
      <c r="V72" s="2" t="s">
        <v>42</v>
      </c>
    </row>
    <row r="73" spans="16:22" x14ac:dyDescent="0.25">
      <c r="P73" s="2" t="s">
        <v>55</v>
      </c>
      <c r="Q73" s="2">
        <v>8.75</v>
      </c>
      <c r="R73" s="2">
        <v>3</v>
      </c>
      <c r="S73" s="2">
        <v>2.9166666666666665</v>
      </c>
      <c r="T73" s="2">
        <v>65535</v>
      </c>
      <c r="U73" s="2" t="e">
        <v>#NUM!</v>
      </c>
      <c r="V73" s="2" t="e">
        <v>#NUM!</v>
      </c>
    </row>
    <row r="74" spans="16:22" x14ac:dyDescent="0.25">
      <c r="P74" s="2" t="s">
        <v>49</v>
      </c>
      <c r="Q74" s="2">
        <v>0</v>
      </c>
      <c r="R74" s="2">
        <v>0</v>
      </c>
      <c r="S74" s="2">
        <v>65535</v>
      </c>
      <c r="T74" s="2">
        <v>65535</v>
      </c>
      <c r="U74" s="2" t="e">
        <v>#NUM!</v>
      </c>
      <c r="V74" s="2" t="e">
        <v>#NUM!</v>
      </c>
    </row>
    <row r="75" spans="16:22" x14ac:dyDescent="0.25">
      <c r="P75" s="2" t="s">
        <v>56</v>
      </c>
      <c r="Q75" s="2">
        <v>0</v>
      </c>
      <c r="R75" s="2">
        <v>0</v>
      </c>
      <c r="S75" s="2">
        <v>65535</v>
      </c>
      <c r="T75" s="2"/>
      <c r="U75" s="2"/>
      <c r="V75" s="2"/>
    </row>
    <row r="76" spans="16:22" x14ac:dyDescent="0.25">
      <c r="P76" s="2"/>
      <c r="Q76" s="2"/>
      <c r="R76" s="2"/>
      <c r="S76" s="2"/>
      <c r="T76" s="2"/>
      <c r="U76" s="2"/>
      <c r="V76" s="2"/>
    </row>
    <row r="77" spans="16:22" x14ac:dyDescent="0.25">
      <c r="P77" s="2" t="s">
        <v>45</v>
      </c>
      <c r="Q77" s="2">
        <v>8.75</v>
      </c>
      <c r="R77" s="2">
        <v>3</v>
      </c>
      <c r="S77" s="2"/>
      <c r="T77" s="2"/>
      <c r="U77" s="2"/>
      <c r="V77" s="2"/>
    </row>
  </sheetData>
  <mergeCells count="10">
    <mergeCell ref="C16:E16"/>
    <mergeCell ref="C21:E21"/>
    <mergeCell ref="P17:V17"/>
    <mergeCell ref="P60:V60"/>
    <mergeCell ref="F47:N47"/>
    <mergeCell ref="P1:V1"/>
    <mergeCell ref="L15:N15"/>
    <mergeCell ref="L30:N30"/>
    <mergeCell ref="L1:N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t-test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PULLA</dc:creator>
  <cp:lastModifiedBy>KARTHIK PULLA</cp:lastModifiedBy>
  <dcterms:created xsi:type="dcterms:W3CDTF">2026-06-30T10:32:53Z</dcterms:created>
  <dcterms:modified xsi:type="dcterms:W3CDTF">2026-07-01T07:29:55Z</dcterms:modified>
</cp:coreProperties>
</file>