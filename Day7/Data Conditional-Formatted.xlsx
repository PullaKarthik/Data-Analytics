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lla Karthik\Desktop\"/>
    </mc:Choice>
  </mc:AlternateContent>
  <xr:revisionPtr revIDLastSave="0" documentId="8_{68BAE1EC-83BE-4F3C-BCA0-CEB3F72BBEAE}" xr6:coauthVersionLast="47" xr6:coauthVersionMax="47" xr10:uidLastSave="{00000000-0000-0000-0000-000000000000}"/>
  <bookViews>
    <workbookView xWindow="-108" yWindow="-108" windowWidth="23256" windowHeight="12456" xr2:uid="{E782BC45-060A-4047-BB10-10D36789A2BC}"/>
  </bookViews>
  <sheets>
    <sheet name="Conditi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<sst xmlns="http://schemas.openxmlformats.org/spreadsheetml/2006/main" count="67" uniqueCount="41">
  <si>
    <t>ID</t>
  </si>
  <si>
    <t>Name</t>
  </si>
  <si>
    <t>Score</t>
  </si>
  <si>
    <t>Attendance</t>
  </si>
  <si>
    <t>Age</t>
  </si>
  <si>
    <t>Gender</t>
  </si>
  <si>
    <t>Subject</t>
  </si>
  <si>
    <t>Grade</t>
  </si>
  <si>
    <t>Region</t>
  </si>
  <si>
    <t>Joining Date</t>
  </si>
  <si>
    <t>Joining Time</t>
  </si>
  <si>
    <t>Scholarship</t>
  </si>
  <si>
    <t>Pin Code</t>
  </si>
  <si>
    <t>Vishwa</t>
  </si>
  <si>
    <t>F</t>
  </si>
  <si>
    <t>Math</t>
  </si>
  <si>
    <t>A</t>
  </si>
  <si>
    <t>North</t>
  </si>
  <si>
    <t>M</t>
  </si>
  <si>
    <t>Science</t>
  </si>
  <si>
    <t>D</t>
  </si>
  <si>
    <t>South</t>
  </si>
  <si>
    <t>Prabhu</t>
  </si>
  <si>
    <t>English</t>
  </si>
  <si>
    <t>C</t>
  </si>
  <si>
    <t>East</t>
  </si>
  <si>
    <t>History</t>
  </si>
  <si>
    <t>West</t>
  </si>
  <si>
    <t>Ganesh</t>
  </si>
  <si>
    <t>B</t>
  </si>
  <si>
    <t>Chaitanya</t>
  </si>
  <si>
    <t>Rithesh</t>
  </si>
  <si>
    <t>Praneetha</t>
  </si>
  <si>
    <t>Satya</t>
  </si>
  <si>
    <t>Sirisha</t>
  </si>
  <si>
    <t>Bhargavi</t>
  </si>
  <si>
    <t>CONDITIONAL FORMATTING</t>
  </si>
  <si>
    <t>Venkat</t>
  </si>
  <si>
    <t>0-10</t>
  </si>
  <si>
    <t>10-20</t>
  </si>
  <si>
    <t>20-30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</si>
</sst>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10409]hh:mm:ss\ AM/PM;@"/>
    <numFmt numFmtId="166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7" tint="0.59999389629810485"/>
        <bgColor indexed="65"/>
      </patternFill>
    </fill>
    <fill>
      <patternFill patternType="gray125">
        <fgColor theme="5" tint="-0.24994659260841701"/>
        <bgColor theme="3" tint="0.59996337778862885"/>
      </patternFill>
    </fill>
    <fill>
      <gradientFill degree="90">
        <stop position="0">
          <color theme="0"/>
        </stop>
        <stop position="0.5">
          <color theme="9" tint="0.4000061037018952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rgb="FFFFC000"/>
        </stop>
        <stop position="1">
          <color theme="0"/>
        </stop>
      </gradient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  <xf numFmtId="0" fontId="1" fillId="4" borderId="0" applyNumberFormat="0" applyBorder="0" applyAlignment="0" applyProtection="0"/>
  </cellStyleXfs>
  <cellXfs count="17">
    <xf numFmtId="0" fontId="0" fillId="0" borderId="0" xfId="0"/>
    <xf numFmtId="0" fontId="5" fillId="5" borderId="4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9" fontId="0" fillId="6" borderId="3" xfId="0" applyNumberFormat="1" applyFill="1" applyBorder="1" applyAlignment="1">
      <alignment horizontal="center" vertical="center"/>
    </xf>
    <xf numFmtId="166" fontId="0" fillId="6" borderId="3" xfId="0" applyNumberFormat="1" applyFill="1" applyBorder="1"/>
    <xf numFmtId="49" fontId="0" fillId="6" borderId="3" xfId="0" applyNumberFormat="1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164" fontId="2" fillId="2" borderId="3" xfId="1" applyNumberFormat="1" applyBorder="1" applyAlignment="1">
      <alignment horizontal="center" vertical="center"/>
    </xf>
    <xf numFmtId="165" fontId="2" fillId="2" borderId="3" xfId="1" applyNumberFormat="1" applyBorder="1"/>
    <xf numFmtId="0" fontId="2" fillId="2" borderId="3" xfId="1" applyBorder="1"/>
    <xf numFmtId="0" fontId="4" fillId="3" borderId="1" xfId="3" applyAlignment="1">
      <alignment horizontal="center" vertical="center"/>
    </xf>
    <xf numFmtId="0" fontId="2" fillId="6" borderId="3" xfId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3" fillId="7" borderId="2" xfId="2" applyFill="1" applyAlignment="1">
      <alignment horizontal="center" vertical="center"/>
    </xf>
    <xf numFmtId="12" fontId="3" fillId="7" borderId="2" xfId="2" applyNumberFormat="1" applyFill="1" applyAlignment="1">
      <alignment horizontal="center" vertical="center"/>
    </xf>
    <xf numFmtId="0" fontId="1" fillId="4" borderId="3" xfId="4" applyBorder="1" applyAlignment="1">
      <alignment horizontal="center"/>
    </xf>
    <xf numFmtId="0" fontId="0" fillId="0" borderId="0" xfId="0" quotePrefix="1"/>
  </cellXfs>
  <cellStyles count="5">
    <cellStyle name="40% - Accent4" xfId="4" builtinId="43"/>
    <cellStyle name="Calculation" xfId="3" builtinId="22"/>
    <cellStyle name="Neutral" xfId="1" builtinId="28"/>
    <cellStyle name="Normal" xfId="0" builtinId="0"/>
    <cellStyle name="Output" xfId="2" builtinId="21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8C430"/>
      <color rgb="FFAAAC5C"/>
      <color rgb="FFCCCCFF"/>
      <color rgb="FFCE3A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787C-6213-4A50-BD34-25C2E715A659}">
  <dimension ref="A1:M16"/>
  <sheetViews>
    <sheetView tabSelected="1" workbookViewId="0">
      <selection activeCell="A17" sqref="A17"/>
    </sheetView>
  </sheetViews>
  <sheetFormatPr defaultRowHeight="14.4" x14ac:dyDescent="0.3"/>
  <cols>
    <col min="2" max="2" width="9.6640625" bestFit="1" customWidth="1"/>
    <col min="3" max="3" width="11.5546875" customWidth="1"/>
    <col min="4" max="4" width="11.33203125" bestFit="1" customWidth="1"/>
    <col min="5" max="5" width="10" customWidth="1"/>
    <col min="8" max="8" width="18.33203125" customWidth="1"/>
    <col min="9" max="9" width="7.109375" bestFit="1" customWidth="1"/>
    <col min="10" max="10" width="12" bestFit="1" customWidth="1"/>
    <col min="11" max="11" width="12.109375" bestFit="1" customWidth="1"/>
    <col min="12" max="12" width="11.109375" bestFit="1" customWidth="1"/>
  </cols>
  <sheetData>
    <row r="1" spans="1:13" x14ac:dyDescent="0.3">
      <c r="A1" s="15" t="s">
        <v>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3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" t="s">
        <v>10</v>
      </c>
      <c r="L2" s="1" t="s">
        <v>11</v>
      </c>
      <c r="M2" s="1" t="s">
        <v>12</v>
      </c>
    </row>
    <row r="3" spans="1:13" x14ac:dyDescent="0.3">
      <c r="A3" s="13">
        <v>1</v>
      </c>
      <c r="B3" s="14" t="s">
        <v>32</v>
      </c>
      <c r="C3" s="11">
        <v>85</v>
      </c>
      <c r="D3" s="3">
        <v>0.9</v>
      </c>
      <c r="E3" s="2">
        <v>20</v>
      </c>
      <c r="F3" s="2" t="s">
        <v>14</v>
      </c>
      <c r="G3" s="6" t="s">
        <v>15</v>
      </c>
      <c r="H3" s="13" t="s">
        <v>16</v>
      </c>
      <c r="I3" s="13" t="s">
        <v>17</v>
      </c>
      <c r="J3" s="7">
        <v>46176</v>
      </c>
      <c r="K3" s="8">
        <f>TIME(8,25,0)</f>
        <v>0.35069444444444442</v>
      </c>
      <c r="L3" s="4">
        <v>9000</v>
      </c>
      <c r="M3" s="9">
        <v>515671</v>
      </c>
    </row>
    <row r="4" spans="1:13" x14ac:dyDescent="0.3">
      <c r="A4" s="13">
        <v>2</v>
      </c>
      <c r="B4" s="14" t="s">
        <v>13</v>
      </c>
      <c r="C4" s="11">
        <v>40</v>
      </c>
      <c r="D4" s="3">
        <v>0.6</v>
      </c>
      <c r="E4" s="2">
        <v>22</v>
      </c>
      <c r="F4" s="2" t="s">
        <v>18</v>
      </c>
      <c r="G4" s="6" t="s">
        <v>19</v>
      </c>
      <c r="H4" s="13" t="s">
        <v>20</v>
      </c>
      <c r="I4" s="13" t="s">
        <v>21</v>
      </c>
      <c r="J4" s="7">
        <v>46177</v>
      </c>
      <c r="K4" s="8">
        <f>TIME(9,45,45)</f>
        <v>0.40677083333333336</v>
      </c>
      <c r="L4" s="4">
        <v>0</v>
      </c>
      <c r="M4" s="9">
        <v>416976</v>
      </c>
    </row>
    <row r="5" spans="1:13" x14ac:dyDescent="0.3">
      <c r="A5" s="13">
        <v>3</v>
      </c>
      <c r="B5" s="14" t="s">
        <v>22</v>
      </c>
      <c r="C5" s="11">
        <v>60</v>
      </c>
      <c r="D5" s="3">
        <v>0.75</v>
      </c>
      <c r="E5" s="2">
        <v>21</v>
      </c>
      <c r="F5" s="2" t="s">
        <v>18</v>
      </c>
      <c r="G5" s="6" t="s">
        <v>23</v>
      </c>
      <c r="H5" s="13" t="s">
        <v>24</v>
      </c>
      <c r="I5" s="13" t="s">
        <v>25</v>
      </c>
      <c r="J5" s="7">
        <v>46178</v>
      </c>
      <c r="K5" s="8">
        <f>TIME(9,15,0)</f>
        <v>0.38541666666666669</v>
      </c>
      <c r="L5" s="4">
        <v>4500</v>
      </c>
      <c r="M5" s="9">
        <v>249876</v>
      </c>
    </row>
    <row r="6" spans="1:13" x14ac:dyDescent="0.3">
      <c r="A6" s="13">
        <v>4</v>
      </c>
      <c r="B6" s="14" t="s">
        <v>33</v>
      </c>
      <c r="C6" s="11">
        <v>30</v>
      </c>
      <c r="D6" s="3">
        <v>0.5</v>
      </c>
      <c r="E6" s="2">
        <v>23</v>
      </c>
      <c r="F6" s="5" t="s">
        <v>14</v>
      </c>
      <c r="G6" s="10" t="s">
        <v>26</v>
      </c>
      <c r="H6" s="13" t="s">
        <v>14</v>
      </c>
      <c r="I6" s="13" t="s">
        <v>27</v>
      </c>
      <c r="J6" s="7">
        <v>46179</v>
      </c>
      <c r="K6" s="8">
        <f>TIME(8,35,0)</f>
        <v>0.3576388888888889</v>
      </c>
      <c r="L6" s="4">
        <v>0</v>
      </c>
      <c r="M6" s="9">
        <v>214687</v>
      </c>
    </row>
    <row r="7" spans="1:13" x14ac:dyDescent="0.3">
      <c r="A7" s="13">
        <v>5</v>
      </c>
      <c r="B7" s="14" t="s">
        <v>28</v>
      </c>
      <c r="C7" s="11">
        <v>75</v>
      </c>
      <c r="D7" s="3">
        <v>0.85</v>
      </c>
      <c r="E7" s="2">
        <v>20</v>
      </c>
      <c r="F7" s="2" t="s">
        <v>18</v>
      </c>
      <c r="G7" s="6" t="s">
        <v>15</v>
      </c>
      <c r="H7" s="13" t="s">
        <v>29</v>
      </c>
      <c r="I7" s="13" t="s">
        <v>17</v>
      </c>
      <c r="J7" s="7">
        <v>46180</v>
      </c>
      <c r="K7" s="8">
        <f>TIME(9,15,0)</f>
        <v>0.38541666666666669</v>
      </c>
      <c r="L7" s="4">
        <v>9000</v>
      </c>
      <c r="M7" s="9">
        <v>634895</v>
      </c>
    </row>
    <row r="8" spans="1:13" x14ac:dyDescent="0.3">
      <c r="A8" s="13">
        <v>6</v>
      </c>
      <c r="B8" s="14" t="s">
        <v>34</v>
      </c>
      <c r="C8" s="11">
        <v>55</v>
      </c>
      <c r="D8" s="3">
        <v>0.7</v>
      </c>
      <c r="E8" s="2">
        <v>22</v>
      </c>
      <c r="F8" s="2" t="s">
        <v>14</v>
      </c>
      <c r="G8" s="6" t="s">
        <v>19</v>
      </c>
      <c r="H8" s="13" t="s">
        <v>24</v>
      </c>
      <c r="I8" s="13" t="s">
        <v>21</v>
      </c>
      <c r="J8" s="7">
        <v>46181</v>
      </c>
      <c r="K8" s="8">
        <f>TIME(9,25,0)</f>
        <v>0.3923611111111111</v>
      </c>
      <c r="L8" s="4">
        <v>4500</v>
      </c>
      <c r="M8" s="9">
        <v>641256</v>
      </c>
    </row>
    <row r="9" spans="1:13" x14ac:dyDescent="0.3">
      <c r="A9" s="13">
        <v>7</v>
      </c>
      <c r="B9" s="14" t="s">
        <v>31</v>
      </c>
      <c r="C9" s="11">
        <v>95</v>
      </c>
      <c r="D9" s="3">
        <v>0.95</v>
      </c>
      <c r="E9" s="2">
        <v>24</v>
      </c>
      <c r="F9" s="2" t="s">
        <v>18</v>
      </c>
      <c r="G9" s="6" t="s">
        <v>23</v>
      </c>
      <c r="H9" s="13" t="s">
        <v>16</v>
      </c>
      <c r="I9" s="13" t="s">
        <v>25</v>
      </c>
      <c r="J9" s="7">
        <v>46182</v>
      </c>
      <c r="K9" s="8">
        <f>TIME(8,55,0)</f>
        <v>0.37152777777777779</v>
      </c>
      <c r="L9" s="4">
        <v>9000</v>
      </c>
      <c r="M9" s="9">
        <v>500001</v>
      </c>
    </row>
    <row r="10" spans="1:13" x14ac:dyDescent="0.3">
      <c r="A10" s="13">
        <v>8</v>
      </c>
      <c r="B10" s="14" t="s">
        <v>35</v>
      </c>
      <c r="C10" s="11">
        <v>45</v>
      </c>
      <c r="D10" s="3">
        <v>0.65</v>
      </c>
      <c r="E10" s="2">
        <v>21</v>
      </c>
      <c r="F10" s="2" t="s">
        <v>14</v>
      </c>
      <c r="G10" s="10" t="s">
        <v>26</v>
      </c>
      <c r="H10" s="13" t="s">
        <v>20</v>
      </c>
      <c r="I10" s="13" t="s">
        <v>27</v>
      </c>
      <c r="J10" s="7">
        <v>46183</v>
      </c>
      <c r="K10" s="8">
        <f>TIME(9,35,0)</f>
        <v>0.39930555555555558</v>
      </c>
      <c r="L10" s="4">
        <v>4500</v>
      </c>
      <c r="M10" s="9">
        <v>754123</v>
      </c>
    </row>
    <row r="11" spans="1:13" x14ac:dyDescent="0.3">
      <c r="A11" s="13">
        <v>9</v>
      </c>
      <c r="B11" s="14" t="s">
        <v>30</v>
      </c>
      <c r="C11" s="11">
        <v>68</v>
      </c>
      <c r="D11" s="3">
        <v>0.8</v>
      </c>
      <c r="E11" s="2">
        <v>23</v>
      </c>
      <c r="F11" s="2" t="s">
        <v>18</v>
      </c>
      <c r="G11" s="6" t="s">
        <v>15</v>
      </c>
      <c r="H11" s="13" t="s">
        <v>29</v>
      </c>
      <c r="I11" s="13" t="s">
        <v>17</v>
      </c>
      <c r="J11" s="7">
        <v>46184</v>
      </c>
      <c r="K11" s="8">
        <f>TIME(8,30,0)</f>
        <v>0.35416666666666669</v>
      </c>
      <c r="L11" s="4">
        <v>9000</v>
      </c>
      <c r="M11" s="9">
        <v>846213</v>
      </c>
    </row>
    <row r="12" spans="1:13" x14ac:dyDescent="0.3">
      <c r="A12" s="13">
        <v>10</v>
      </c>
      <c r="B12" s="14" t="s">
        <v>37</v>
      </c>
      <c r="C12" s="11">
        <v>25</v>
      </c>
      <c r="D12" s="3">
        <v>0.4</v>
      </c>
      <c r="E12" s="2">
        <v>22</v>
      </c>
      <c r="F12" s="2" t="s">
        <v>18</v>
      </c>
      <c r="G12" s="6" t="s">
        <v>19</v>
      </c>
      <c r="H12" s="13" t="s">
        <v>14</v>
      </c>
      <c r="I12" s="13" t="s">
        <v>21</v>
      </c>
      <c r="J12" s="7">
        <v>46185</v>
      </c>
      <c r="K12" s="8">
        <f>TIME(9,30,0)</f>
        <v>0.39583333333333331</v>
      </c>
      <c r="L12" s="4">
        <v>0</v>
      </c>
      <c r="M12" s="9">
        <v>123789</v>
      </c>
    </row>
    <row r="14" spans="1:13" x14ac:dyDescent="0.3">
      <c r="A14" s="16" t="s">
        <v>38</v>
      </c>
    </row>
    <row r="15" spans="1:13" x14ac:dyDescent="0.3">
      <c r="A15" s="16" t="s">
        <v>39</v>
      </c>
      <c r="F15">
        <f>COUNTIFS(G3:G12,"&gt;=0",G3:G12,"&lt;10")</f>
        <v>0</v>
      </c>
    </row>
    <row r="16" spans="1:13" x14ac:dyDescent="0.3">
      <c r="A16" s="16" t="s">
        <v>40</v>
      </c>
    </row>
  </sheetData>
  <mergeCells count="1">
    <mergeCell ref="A1:M1"/>
  </mergeCells>
  <conditionalFormatting sqref="C3:C1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{9C8CBDB5-B53A-4F06-9088-64B5CAF12E4B}</x14:id>
        </ext>
      </extLst>
    </cfRule>
  </conditionalFormatting>
  <conditionalFormatting sqref="D2:D12">
    <cfRule type="cellIs" dxfId="13" priority="27" operator="lessThan">
      <formula>0.65</formula>
    </cfRule>
    <cfRule type="cellIs" dxfId="12" priority="28" operator="between">
      <formula>$D$10</formula>
      <formula>$D$5</formula>
    </cfRule>
  </conditionalFormatting>
  <conditionalFormatting sqref="D3:D12">
    <cfRule type="cellIs" dxfId="11" priority="29" operator="greaterThan">
      <formula>0.75</formula>
    </cfRule>
  </conditionalFormatting>
  <conditionalFormatting sqref="D11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E3:E12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{E80B9A52-B6B5-406E-A611-5BEAF9A9F076}</x14:id>
        </ext>
      </extLst>
    </cfRule>
  </conditionalFormatting>
  <conditionalFormatting sqref="F3:F12">
    <cfRule type="cellIs" dxfId="10" priority="17" operator="equal">
      <formula>"F"</formula>
    </cfRule>
  </conditionalFormatting>
  <conditionalFormatting sqref="F4:F12">
    <cfRule type="cellIs" dxfId="9" priority="12" operator="equal">
      <formula>"M"</formula>
    </cfRule>
  </conditionalFormatting>
  <conditionalFormatting sqref="G3:G12">
    <cfRule type="containsText" dxfId="8" priority="20" operator="containsText" text="Science">
      <formula>NOT(ISERROR(SEARCH("Science",G3)))</formula>
    </cfRule>
    <cfRule type="containsText" dxfId="7" priority="21" operator="containsText" text="Math">
      <formula>NOT(ISERROR(SEARCH("Math",G3)))</formula>
    </cfRule>
  </conditionalFormatting>
  <conditionalFormatting sqref="H3:H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12">
    <cfRule type="colorScale" priority="2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{955208D2-4282-4462-895C-5FA8BC18CD37}</x14:id>
        </ext>
      </extLst>
    </cfRule>
  </conditionalFormatting>
  <conditionalFormatting sqref="J3:J12">
    <cfRule type="colorScale" priority="3">
      <colorScale>
        <cfvo type="min"/>
        <cfvo type="max"/>
        <color rgb="FFFCFCFF"/>
        <color rgb="FF63BE7B"/>
      </colorScale>
    </cfRule>
  </conditionalFormatting>
  <conditionalFormatting sqref="K3:K12">
    <cfRule type="cellIs" dxfId="6" priority="8" operator="lessThan">
      <formula>0.375</formula>
    </cfRule>
  </conditionalFormatting>
  <conditionalFormatting sqref="K4:K12">
    <cfRule type="cellIs" dxfId="5" priority="7" operator="greaterThan">
      <formula>0.380474537037037</formula>
    </cfRule>
  </conditionalFormatting>
  <conditionalFormatting sqref="L3:L12">
    <cfRule type="cellIs" dxfId="4" priority="13" operator="equal">
      <formula>0</formula>
    </cfRule>
    <cfRule type="cellIs" dxfId="3" priority="14" operator="equal">
      <formula>9000</formula>
    </cfRule>
    <cfRule type="cellIs" dxfId="2" priority="15" operator="equal">
      <formula>4500</formula>
    </cfRule>
  </conditionalFormatting>
  <conditionalFormatting sqref="M3:M12">
    <cfRule type="cellIs" dxfId="1" priority="5" operator="greaterThan">
      <formula>400001</formula>
    </cfRule>
    <cfRule type="cellIs" dxfId="0" priority="6" operator="lessThan">
      <formula>400000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8CBDB5-B53A-4F06-9088-64B5CAF12E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C3:C12</xm:sqref>
        </x14:conditionalFormatting>
        <x14:conditionalFormatting xmlns:xm="http://schemas.microsoft.com/office/excel/2006/main">
          <x14:cfRule type="iconSet" priority="24" id="{6E18EF03-D97F-456E-8E00-FD18E80868BF}">
            <x14:iconSet iconSet="3Arrows" custom="1">
              <x14:cfvo type="percent">
                <xm:f>0</xm:f>
              </x14:cfvo>
              <x14:cfvo type="percent">
                <xm:f>65</xm:f>
              </x14:cfvo>
              <x14:cfvo type="percent" gte="0">
                <xm:f>75</xm:f>
              </x14:cfvo>
              <x14:cfIcon iconSet="3Arrows" iconId="0"/>
              <x14:cfIcon iconSet="3Arrows" iconId="1"/>
              <x14:cfIcon iconSet="3Arrows" iconId="2"/>
            </x14:iconSet>
          </x14:cfRule>
          <x14:cfRule type="iconSet" priority="25" id="{44D020FF-97A6-4E4D-8A4E-1280E3D11DCE}">
            <x14:iconSet custom="1">
              <x14:cfvo type="percent">
                <xm:f>0</xm:f>
              </x14:cfvo>
              <x14:cfvo type="percent">
                <xm:f>65</xm:f>
              </x14:cfvo>
              <x14:cfvo type="percent" gte="0">
                <xm:f>75</xm:f>
              </x14:cfvo>
              <x14:cfIcon iconSet="3Arrows" iconId="0"/>
              <x14:cfIcon iconSet="3TrafficLights1" iconId="1"/>
              <x14:cfIcon iconSet="3Arrows" iconId="2"/>
            </x14:iconSet>
          </x14:cfRule>
          <xm:sqref>D3:D12</xm:sqref>
        </x14:conditionalFormatting>
        <x14:conditionalFormatting xmlns:xm="http://schemas.microsoft.com/office/excel/2006/main">
          <x14:cfRule type="dataBar" id="{E80B9A52-B6B5-406E-A611-5BEAF9A9F0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E3:E12</xm:sqref>
        </x14:conditionalFormatting>
        <x14:conditionalFormatting xmlns:xm="http://schemas.microsoft.com/office/excel/2006/main">
          <x14:cfRule type="iconSet" priority="10" id="{721EA401-325A-4295-96D1-77F5FA6D1BB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H3:H12</xm:sqref>
        </x14:conditionalFormatting>
        <x14:conditionalFormatting xmlns:xm="http://schemas.microsoft.com/office/excel/2006/main">
          <x14:cfRule type="dataBar" id="{955208D2-4282-4462-895C-5FA8BC18CD3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I3:I12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PULLA KARTHIK LE 06</cp:lastModifiedBy>
  <dcterms:created xsi:type="dcterms:W3CDTF">2026-06-04T08:49:44Z</dcterms:created>
  <dcterms:modified xsi:type="dcterms:W3CDTF">2026-06-04T16:38:38Z</dcterms:modified>
</cp:coreProperties>
</file>