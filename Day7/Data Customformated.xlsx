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C445B853-48B8-4905-B949-05177154AE78}" xr6:coauthVersionLast="47" xr6:coauthVersionMax="47" xr10:uidLastSave="{00000000-0000-0000-0000-000000000000}"/>
  <bookViews>
    <workbookView xWindow="-120" yWindow="-120" windowWidth="29040" windowHeight="15720" xr2:uid="{572AD824-B194-4228-AAEC-FD16641E804F}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K11" i="1" l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<sst xmlns="http://schemas.openxmlformats.org/spreadsheetml/2006/main" count="69" uniqueCount="41">
  <si>
    <t>ID</t>
  </si>
  <si>
    <t>Name</t>
  </si>
  <si>
    <t>Score</t>
  </si>
  <si>
    <t>Attendance</t>
  </si>
  <si>
    <t>Age</t>
  </si>
  <si>
    <t>Gender</t>
  </si>
  <si>
    <t>Subject</t>
  </si>
  <si>
    <t>Grade</t>
  </si>
  <si>
    <t>Region</t>
  </si>
  <si>
    <t>F</t>
  </si>
  <si>
    <t>Math</t>
  </si>
  <si>
    <t>A</t>
  </si>
  <si>
    <t>North</t>
  </si>
  <si>
    <t>M</t>
  </si>
  <si>
    <t>Science</t>
  </si>
  <si>
    <t>D</t>
  </si>
  <si>
    <t>South</t>
  </si>
  <si>
    <t>English</t>
  </si>
  <si>
    <t>C</t>
  </si>
  <si>
    <t>East</t>
  </si>
  <si>
    <t>History</t>
  </si>
  <si>
    <t>West</t>
  </si>
  <si>
    <t>B</t>
  </si>
  <si>
    <t>Joining Date</t>
  </si>
  <si>
    <t>Joining Time</t>
  </si>
  <si>
    <t>Scholarship</t>
  </si>
  <si>
    <t>Vishwa</t>
  </si>
  <si>
    <t>Karthik</t>
  </si>
  <si>
    <t>Prabhu</t>
  </si>
  <si>
    <t>Venkat</t>
  </si>
  <si>
    <t>Ganesh</t>
  </si>
  <si>
    <t>Chaitanya</t>
  </si>
  <si>
    <t>Rithesh</t>
  </si>
  <si>
    <t>Suneeth</t>
  </si>
  <si>
    <t>Naresh</t>
  </si>
  <si>
    <t>Kishore</t>
  </si>
  <si>
    <t>Pin Code</t>
  </si>
  <si>
    <t>Negatives</t>
  </si>
  <si>
    <t>Positives</t>
  </si>
  <si>
    <t>0's addup</t>
  </si>
  <si>
    <t>0's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</si>
</sst>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6" formatCode="[$-F800]dddd\,\ mmmm\ dd\,\ yyyy"/>
    <numFmt numFmtId="172" formatCode="[$-10409]hh:mm:ss\ AM/PM;@"/>
    <numFmt numFmtId="173" formatCode="&quot;₹&quot;\ #,##0.00"/>
    <numFmt numFmtId="175" formatCode="#,##0;;"/>
    <numFmt numFmtId="177" formatCode=";\-#,##0;0&quot;Negative&quot;"/>
    <numFmt numFmtId="179" formatCode=";\-0&quot;Negative&quot;;"/>
    <numFmt numFmtId="180" formatCode="#,##0&quot;Positive&quot;;"/>
    <numFmt numFmtId="181" formatCode="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theme="0"/>
        </stop>
        <stop position="0.5">
          <color theme="9" tint="0.40000610370189521"/>
        </stop>
        <stop position="1">
          <color theme="0"/>
        </stop>
      </gradientFill>
    </fill>
    <fill>
      <patternFill patternType="gray125">
        <fgColor theme="5" tint="-0.24994659260841701"/>
        <bgColor theme="3" tint="0.5999633777886288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10" xfId="0" applyFill="1" applyBorder="1" applyAlignment="1">
      <alignment horizontal="center" vertical="center"/>
    </xf>
    <xf numFmtId="12" fontId="0" fillId="33" borderId="10" xfId="0" applyNumberFormat="1" applyFill="1" applyBorder="1" applyAlignment="1">
      <alignment horizontal="center" vertical="center"/>
    </xf>
    <xf numFmtId="9" fontId="0" fillId="33" borderId="10" xfId="0" applyNumberFormat="1" applyFill="1" applyBorder="1" applyAlignment="1">
      <alignment horizontal="center" vertical="center"/>
    </xf>
    <xf numFmtId="166" fontId="0" fillId="33" borderId="10" xfId="0" applyNumberFormat="1" applyFill="1" applyBorder="1" applyAlignment="1">
      <alignment horizontal="center" vertical="center"/>
    </xf>
    <xf numFmtId="172" fontId="0" fillId="33" borderId="10" xfId="0" applyNumberFormat="1" applyFill="1" applyBorder="1"/>
    <xf numFmtId="173" fontId="0" fillId="33" borderId="10" xfId="0" applyNumberFormat="1" applyFill="1" applyBorder="1"/>
    <xf numFmtId="49" fontId="0" fillId="33" borderId="10" xfId="0" applyNumberForma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0" fillId="33" borderId="10" xfId="0" applyNumberFormat="1" applyFill="1" applyBorder="1" applyAlignment="1">
      <alignment horizontal="center" vertical="center"/>
    </xf>
    <xf numFmtId="0" fontId="0" fillId="33" borderId="10" xfId="0" applyNumberFormat="1" applyFill="1" applyBorder="1"/>
    <xf numFmtId="0" fontId="0" fillId="0" borderId="0" xfId="0"/>
    <xf numFmtId="175" fontId="0" fillId="33" borderId="10" xfId="0" applyNumberFormat="1" applyFill="1" applyBorder="1"/>
    <xf numFmtId="177" fontId="0" fillId="33" borderId="10" xfId="0" applyNumberFormat="1" applyFill="1" applyBorder="1"/>
    <xf numFmtId="180" fontId="0" fillId="33" borderId="10" xfId="0" applyNumberFormat="1" applyFill="1" applyBorder="1"/>
    <xf numFmtId="179" fontId="0" fillId="33" borderId="10" xfId="0" applyNumberFormat="1" applyFill="1" applyBorder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 vertical="center"/>
    </xf>
    <xf numFmtId="0" fontId="16" fillId="33" borderId="10" xfId="0" applyNumberFormat="1" applyFont="1" applyFill="1" applyBorder="1" applyAlignment="1">
      <alignment horizontal="center" vertical="center"/>
    </xf>
    <xf numFmtId="181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0E33-73B1-4192-B613-63CDB8631CC3}">
  <dimension ref="A1:M22"/>
  <sheetViews>
    <sheetView tabSelected="1" workbookViewId="0">
      <selection activeCell="H24" sqref="H24"/>
    </sheetView>
  </sheetViews>
  <sheetFormatPr defaultRowHeight="15" x14ac:dyDescent="0.25"/>
  <cols>
    <col min="1" max="1" width="3" bestFit="1" customWidth="1"/>
    <col min="2" max="2" width="9.7109375" bestFit="1" customWidth="1"/>
    <col min="3" max="3" width="5.85546875" bestFit="1" customWidth="1"/>
    <col min="4" max="4" width="11.28515625" bestFit="1" customWidth="1"/>
    <col min="5" max="5" width="9.28515625" bestFit="1" customWidth="1"/>
    <col min="6" max="6" width="9" bestFit="1" customWidth="1"/>
    <col min="7" max="7" width="9.85546875" bestFit="1" customWidth="1"/>
    <col min="8" max="8" width="9" bestFit="1" customWidth="1"/>
    <col min="9" max="9" width="10.7109375" bestFit="1" customWidth="1"/>
    <col min="10" max="10" width="11.85546875" bestFit="1" customWidth="1"/>
    <col min="11" max="11" width="12.140625" bestFit="1" customWidth="1"/>
    <col min="12" max="12" width="11.140625" bestFit="1" customWidth="1"/>
  </cols>
  <sheetData>
    <row r="1" spans="1:13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23</v>
      </c>
      <c r="K1" s="9" t="s">
        <v>24</v>
      </c>
      <c r="L1" s="9" t="s">
        <v>25</v>
      </c>
      <c r="M1" s="9" t="s">
        <v>36</v>
      </c>
    </row>
    <row r="2" spans="1:13" x14ac:dyDescent="0.25">
      <c r="A2" s="1">
        <v>1</v>
      </c>
      <c r="B2" s="2" t="s">
        <v>26</v>
      </c>
      <c r="C2" s="1">
        <v>85</v>
      </c>
      <c r="D2" s="3">
        <v>0.9</v>
      </c>
      <c r="E2" s="10">
        <v>20</v>
      </c>
      <c r="F2" s="1" t="s">
        <v>9</v>
      </c>
      <c r="G2" s="1" t="s">
        <v>10</v>
      </c>
      <c r="H2" s="1" t="s">
        <v>11</v>
      </c>
      <c r="I2" s="10" t="s">
        <v>12</v>
      </c>
      <c r="J2" s="4">
        <v>46176</v>
      </c>
      <c r="K2" s="5">
        <f>TIME(8,25,0)</f>
        <v>0.35069444444444442</v>
      </c>
      <c r="L2" s="6">
        <v>9000</v>
      </c>
      <c r="M2" s="11">
        <v>515671</v>
      </c>
    </row>
    <row r="3" spans="1:13" x14ac:dyDescent="0.25">
      <c r="A3" s="1">
        <v>2</v>
      </c>
      <c r="B3" s="2" t="s">
        <v>27</v>
      </c>
      <c r="C3" s="1">
        <v>40</v>
      </c>
      <c r="D3" s="3">
        <v>0.6</v>
      </c>
      <c r="E3" s="10">
        <v>22</v>
      </c>
      <c r="F3" s="1" t="s">
        <v>13</v>
      </c>
      <c r="G3" s="1" t="s">
        <v>14</v>
      </c>
      <c r="H3" s="1" t="s">
        <v>15</v>
      </c>
      <c r="I3" s="10" t="s">
        <v>16</v>
      </c>
      <c r="J3" s="4">
        <v>46177</v>
      </c>
      <c r="K3" s="5">
        <f>TIME(9,45,45)</f>
        <v>0.40677083333333336</v>
      </c>
      <c r="L3" s="6">
        <v>0</v>
      </c>
      <c r="M3" s="11">
        <v>416976</v>
      </c>
    </row>
    <row r="4" spans="1:13" x14ac:dyDescent="0.25">
      <c r="A4" s="1">
        <v>3</v>
      </c>
      <c r="B4" s="2" t="s">
        <v>28</v>
      </c>
      <c r="C4" s="1">
        <v>60</v>
      </c>
      <c r="D4" s="3">
        <v>0.75</v>
      </c>
      <c r="E4" s="10">
        <v>21</v>
      </c>
      <c r="F4" s="1" t="s">
        <v>13</v>
      </c>
      <c r="G4" s="1" t="s">
        <v>17</v>
      </c>
      <c r="H4" s="1" t="s">
        <v>18</v>
      </c>
      <c r="I4" s="10" t="s">
        <v>19</v>
      </c>
      <c r="J4" s="4">
        <v>46178</v>
      </c>
      <c r="K4" s="5">
        <f>TIME(9,15,0)</f>
        <v>0.38541666666666669</v>
      </c>
      <c r="L4" s="6">
        <v>9000</v>
      </c>
      <c r="M4" s="11">
        <v>249876</v>
      </c>
    </row>
    <row r="5" spans="1:13" x14ac:dyDescent="0.25">
      <c r="A5" s="1">
        <v>4</v>
      </c>
      <c r="B5" s="2" t="s">
        <v>29</v>
      </c>
      <c r="C5" s="1">
        <v>30</v>
      </c>
      <c r="D5" s="3">
        <v>0.5</v>
      </c>
      <c r="E5" s="10">
        <v>23</v>
      </c>
      <c r="F5" s="7" t="s">
        <v>9</v>
      </c>
      <c r="G5" s="1" t="s">
        <v>20</v>
      </c>
      <c r="H5" s="1" t="s">
        <v>9</v>
      </c>
      <c r="I5" s="10" t="s">
        <v>21</v>
      </c>
      <c r="J5" s="4">
        <v>46179</v>
      </c>
      <c r="K5" s="5">
        <f>TIME(8,35,0)</f>
        <v>0.3576388888888889</v>
      </c>
      <c r="L5" s="6">
        <v>0</v>
      </c>
      <c r="M5" s="11">
        <v>214687</v>
      </c>
    </row>
    <row r="6" spans="1:13" x14ac:dyDescent="0.25">
      <c r="A6" s="1">
        <v>5</v>
      </c>
      <c r="B6" s="2" t="s">
        <v>30</v>
      </c>
      <c r="C6" s="1">
        <v>75</v>
      </c>
      <c r="D6" s="3">
        <v>0.85</v>
      </c>
      <c r="E6" s="10">
        <v>20</v>
      </c>
      <c r="F6" s="1" t="s">
        <v>13</v>
      </c>
      <c r="G6" s="1" t="s">
        <v>10</v>
      </c>
      <c r="H6" s="1" t="s">
        <v>22</v>
      </c>
      <c r="I6" s="10" t="s">
        <v>12</v>
      </c>
      <c r="J6" s="4">
        <v>46180</v>
      </c>
      <c r="K6" s="5">
        <f>TIME(9,15,0)</f>
        <v>0.38541666666666669</v>
      </c>
      <c r="L6" s="6">
        <v>9000</v>
      </c>
      <c r="M6" s="11">
        <v>634895</v>
      </c>
    </row>
    <row r="7" spans="1:13" x14ac:dyDescent="0.25">
      <c r="A7" s="1">
        <v>6</v>
      </c>
      <c r="B7" s="2" t="s">
        <v>31</v>
      </c>
      <c r="C7" s="1">
        <v>55</v>
      </c>
      <c r="D7" s="3">
        <v>0.7</v>
      </c>
      <c r="E7" s="10">
        <v>22</v>
      </c>
      <c r="F7" s="1" t="s">
        <v>9</v>
      </c>
      <c r="G7" s="1" t="s">
        <v>14</v>
      </c>
      <c r="H7" s="1" t="s">
        <v>18</v>
      </c>
      <c r="I7" s="10" t="s">
        <v>16</v>
      </c>
      <c r="J7" s="4">
        <v>46181</v>
      </c>
      <c r="K7" s="5">
        <f>TIME(9,25,0)</f>
        <v>0.3923611111111111</v>
      </c>
      <c r="L7" s="6">
        <v>0</v>
      </c>
      <c r="M7" s="11">
        <v>641256</v>
      </c>
    </row>
    <row r="8" spans="1:13" x14ac:dyDescent="0.25">
      <c r="A8" s="1">
        <v>7</v>
      </c>
      <c r="B8" s="2" t="s">
        <v>32</v>
      </c>
      <c r="C8" s="1">
        <v>95</v>
      </c>
      <c r="D8" s="3">
        <v>0.95</v>
      </c>
      <c r="E8" s="10">
        <v>24</v>
      </c>
      <c r="F8" s="1" t="s">
        <v>13</v>
      </c>
      <c r="G8" s="1" t="s">
        <v>17</v>
      </c>
      <c r="H8" s="1" t="s">
        <v>11</v>
      </c>
      <c r="I8" s="10" t="s">
        <v>19</v>
      </c>
      <c r="J8" s="4">
        <v>46182</v>
      </c>
      <c r="K8" s="5">
        <f>TIME(8,55,0)</f>
        <v>0.37152777777777779</v>
      </c>
      <c r="L8" s="6">
        <v>9000</v>
      </c>
      <c r="M8" s="11">
        <v>500001</v>
      </c>
    </row>
    <row r="9" spans="1:13" x14ac:dyDescent="0.25">
      <c r="A9" s="1">
        <v>8</v>
      </c>
      <c r="B9" s="2" t="s">
        <v>35</v>
      </c>
      <c r="C9" s="1">
        <v>45</v>
      </c>
      <c r="D9" s="3">
        <v>0.65</v>
      </c>
      <c r="E9" s="10">
        <v>21</v>
      </c>
      <c r="F9" s="1" t="s">
        <v>9</v>
      </c>
      <c r="G9" s="1" t="s">
        <v>20</v>
      </c>
      <c r="H9" s="1" t="s">
        <v>15</v>
      </c>
      <c r="I9" s="10" t="s">
        <v>21</v>
      </c>
      <c r="J9" s="4">
        <v>46183</v>
      </c>
      <c r="K9" s="5">
        <f>TIME(9,35,0)</f>
        <v>0.39930555555555558</v>
      </c>
      <c r="L9" s="6">
        <v>0</v>
      </c>
      <c r="M9" s="11">
        <v>754123</v>
      </c>
    </row>
    <row r="10" spans="1:13" x14ac:dyDescent="0.25">
      <c r="A10" s="1">
        <v>9</v>
      </c>
      <c r="B10" s="2" t="s">
        <v>33</v>
      </c>
      <c r="C10" s="1">
        <v>68</v>
      </c>
      <c r="D10" s="3">
        <v>0.8</v>
      </c>
      <c r="E10" s="10">
        <v>23</v>
      </c>
      <c r="F10" s="1" t="s">
        <v>13</v>
      </c>
      <c r="G10" s="1" t="s">
        <v>10</v>
      </c>
      <c r="H10" s="1" t="s">
        <v>22</v>
      </c>
      <c r="I10" s="10" t="s">
        <v>12</v>
      </c>
      <c r="J10" s="4">
        <v>46184</v>
      </c>
      <c r="K10" s="5">
        <f>TIME(8,30,0)</f>
        <v>0.35416666666666669</v>
      </c>
      <c r="L10" s="6">
        <v>9000</v>
      </c>
      <c r="M10" s="11">
        <v>846213</v>
      </c>
    </row>
    <row r="11" spans="1:13" x14ac:dyDescent="0.25">
      <c r="A11" s="1">
        <v>10</v>
      </c>
      <c r="B11" s="2" t="s">
        <v>34</v>
      </c>
      <c r="C11" s="1">
        <v>25</v>
      </c>
      <c r="D11" s="3">
        <v>0.4</v>
      </c>
      <c r="E11" s="10">
        <v>22</v>
      </c>
      <c r="F11" s="1" t="s">
        <v>9</v>
      </c>
      <c r="G11" s="1" t="s">
        <v>14</v>
      </c>
      <c r="H11" s="1" t="s">
        <v>9</v>
      </c>
      <c r="I11" s="10" t="s">
        <v>16</v>
      </c>
      <c r="J11" s="4">
        <v>46185</v>
      </c>
      <c r="K11" s="5">
        <f>TIME(9,30,0)</f>
        <v>0.39583333333333331</v>
      </c>
      <c r="L11" s="6">
        <v>0</v>
      </c>
      <c r="M11" s="11">
        <v>123789</v>
      </c>
    </row>
    <row r="14" spans="1:13" x14ac:dyDescent="0.25">
      <c r="E14" s="17" t="s">
        <v>39</v>
      </c>
      <c r="F14" s="18" t="s">
        <v>38</v>
      </c>
      <c r="G14" s="18" t="s">
        <v>37</v>
      </c>
      <c r="H14" s="18" t="s">
        <v>38</v>
      </c>
      <c r="I14" s="19" t="s">
        <v>37</v>
      </c>
      <c r="J14" s="19" t="s">
        <v>40</v>
      </c>
    </row>
    <row r="15" spans="1:13" x14ac:dyDescent="0.25">
      <c r="E15" s="20">
        <v>50</v>
      </c>
      <c r="F15" s="13">
        <v>1400</v>
      </c>
      <c r="G15" s="14">
        <v>1400</v>
      </c>
      <c r="H15" s="15">
        <v>-1</v>
      </c>
      <c r="I15" s="16">
        <v>-1</v>
      </c>
      <c r="J15" s="13">
        <v>95</v>
      </c>
    </row>
    <row r="16" spans="1:13" x14ac:dyDescent="0.25">
      <c r="E16" s="20">
        <v>60</v>
      </c>
      <c r="F16" s="13">
        <v>-600</v>
      </c>
      <c r="G16" s="14">
        <v>-600</v>
      </c>
      <c r="H16" s="15">
        <v>2</v>
      </c>
      <c r="I16" s="16">
        <v>2</v>
      </c>
      <c r="J16" s="13">
        <v>0</v>
      </c>
    </row>
    <row r="17" spans="5:10" ht="12" customHeight="1" x14ac:dyDescent="0.25">
      <c r="E17" s="20">
        <v>70</v>
      </c>
      <c r="F17" s="13">
        <v>1500</v>
      </c>
      <c r="G17" s="14">
        <v>1500</v>
      </c>
      <c r="H17" s="15">
        <v>-3</v>
      </c>
      <c r="I17" s="16">
        <v>-3</v>
      </c>
      <c r="J17" s="13">
        <v>85</v>
      </c>
    </row>
    <row r="18" spans="5:10" hidden="1" x14ac:dyDescent="0.25">
      <c r="E18" s="20"/>
      <c r="F18" s="13">
        <v>-900</v>
      </c>
      <c r="G18" s="14">
        <v>-900</v>
      </c>
      <c r="H18" s="15"/>
      <c r="I18" s="16"/>
      <c r="J18" s="13"/>
    </row>
    <row r="19" spans="5:10" x14ac:dyDescent="0.25">
      <c r="E19" s="20">
        <v>80</v>
      </c>
      <c r="F19" s="13">
        <v>-900</v>
      </c>
      <c r="G19" s="14">
        <v>-900</v>
      </c>
      <c r="H19" s="15">
        <v>4</v>
      </c>
      <c r="I19" s="16">
        <v>4</v>
      </c>
      <c r="J19" s="13">
        <v>0</v>
      </c>
    </row>
    <row r="20" spans="5:10" x14ac:dyDescent="0.25">
      <c r="E20" s="20">
        <v>90</v>
      </c>
      <c r="F20" s="13">
        <v>2000</v>
      </c>
      <c r="G20" s="14">
        <v>2000</v>
      </c>
      <c r="H20" s="15">
        <v>-5</v>
      </c>
      <c r="I20" s="16">
        <v>-5</v>
      </c>
      <c r="J20" s="13">
        <v>75</v>
      </c>
    </row>
    <row r="22" spans="5:10" x14ac:dyDescent="0.25">
      <c r="I2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2026-06-04T07:18:18Z</dcterms:created>
  <dcterms:modified xsi:type="dcterms:W3CDTF">2026-06-04T07:18:18Z</dcterms:modified>
</cp:coreProperties>
</file>