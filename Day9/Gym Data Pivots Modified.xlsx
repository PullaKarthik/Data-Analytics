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634A20B7-BCC6-48CA-AF26-512FCAE0434C}" xr6:coauthVersionLast="47" xr6:coauthVersionMax="47" xr10:uidLastSave="{00000000-0000-0000-0000-000000000000}"/>
  <bookViews>
    <workbookView xWindow="-120" yWindow="-120" windowWidth="29040" windowHeight="15720" activeTab="3" xr2:uid="{FAB6C0A7-2C90-431B-B137-669CC19F4308}"/>
  </bookViews>
  <sheets>
    <sheet name="Sheet2" sheetId="2" r:id="rId1"/>
    <sheet name="Sheet3" sheetId="3" r:id="rId2"/>
    <sheet name="Sheet4" sheetId="4" r:id="rId3"/>
    <sheet name="Sheet5" sheetId="5" r:id="rId4"/>
    <sheet name="Sheet1" sheetId="1" r:id="rId5"/>
  </sheets>
  <definedNames>
    <definedName name="Slicer_Age">#N/A</definedName>
    <definedName name="Slicer_Age11">#N/A</definedName>
    <definedName name="Slicer_BMI1">#N/A</definedName>
    <definedName name="Slicer_Calories_Burned2">#N/A</definedName>
    <definedName name="Slicer_Gender">#N/A</definedName>
    <definedName name="Slicer_Gender1">#N/A</definedName>
    <definedName name="Slicer_Gender2">#N/A</definedName>
    <definedName name="Slicer_Gender3">#N/A</definedName>
    <definedName name="Slicer_Height__m">#N/A</definedName>
    <definedName name="Slicer_Height__m11">#N/A</definedName>
    <definedName name="Slicer_Weight__kg">#N/A</definedName>
    <definedName name="Slicer_Weight__kg1">#N/A</definedName>
    <definedName name="Slicer_Workout_Typ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<sst xmlns="http://schemas.openxmlformats.org/spreadsheetml/2006/main" count="291" uniqueCount="34">
  <si>
    <t>Age</t>
  </si>
  <si>
    <t>Weight (kg)</t>
  </si>
  <si>
    <t>Height (m)</t>
  </si>
  <si>
    <t>Max_BPM</t>
  </si>
  <si>
    <t>Avg_BPM</t>
  </si>
  <si>
    <t>Resting_BPM</t>
  </si>
  <si>
    <t>Session_Duration (hours)</t>
  </si>
  <si>
    <t>Calories_Burned</t>
  </si>
  <si>
    <t>Workout_Type</t>
  </si>
  <si>
    <t>Gender</t>
  </si>
  <si>
    <t>Fat_Percentage</t>
  </si>
  <si>
    <t>Water_Intake (liters)</t>
  </si>
  <si>
    <t>Workout_Frequency (days/week)</t>
  </si>
  <si>
    <t>Experience_Level</t>
  </si>
  <si>
    <t>BMI</t>
  </si>
  <si>
    <t>Strength</t>
  </si>
  <si>
    <t>Female</t>
  </si>
  <si>
    <t>Cardio</t>
  </si>
  <si>
    <t>Male</t>
  </si>
  <si>
    <t>HIIT</t>
  </si>
  <si>
    <t>Yoga</t>
  </si>
  <si>
    <t>\t182</t>
  </si>
  <si>
    <t>\nStrength</t>
  </si>
  <si>
    <t>\tCardio</t>
  </si>
  <si>
    <t>Row Labels</t>
  </si>
  <si>
    <t>Grand Total</t>
  </si>
  <si>
    <t>Sum of Weight (kg)</t>
  </si>
  <si>
    <t>Sum of Height (m)</t>
  </si>
  <si>
    <t>Average of Calories_Burned</t>
  </si>
  <si>
    <t>Average of Max_BPM</t>
  </si>
  <si>
    <t>Average of Weight (kg)</t>
  </si>
  <si>
    <t>Sum of Water_Intake (liters)</t>
  </si>
  <si>
    <t>Sum of Resting_BPM</t>
  </si>
  <si>
    <t>Min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</si>
</sst>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Average of Calories_Burned</c:v>
                </c:pt>
              </c:strCache>
            </c:strRef>
          </c:tx>
          <c:spPr>
            <a:solidFill>
              <a:schemeClr val="accent1"/>
            </a:solidFill>
            <a:ln>
              <a:noFill/>
            </a:ln>
            <a:effectLst/>
          </c:spPr>
          <c:invertIfNegative val="0"/>
          <c:cat>
            <c:strRef>
              <c:f>Sheet2!$A$4:$A$8</c:f>
              <c:strCache>
                <c:ptCount val="4"/>
                <c:pt idx="0">
                  <c:v>Cardio</c:v>
                </c:pt>
                <c:pt idx="1">
                  <c:v>HIIT</c:v>
                </c:pt>
                <c:pt idx="2">
                  <c:v>Strength</c:v>
                </c:pt>
                <c:pt idx="3">
                  <c:v>Yoga</c:v>
                </c:pt>
              </c:strCache>
            </c:strRef>
          </c:cat>
          <c:val>
            <c:numRef>
              <c:f>Sheet2!$B$4:$B$8</c:f>
              <c:numCache>
                <c:formatCode>General</c:formatCode>
                <c:ptCount val="4"/>
                <c:pt idx="0">
                  <c:v>1266</c:v>
                </c:pt>
                <c:pt idx="1">
                  <c:v>1105.6666666666667</c:v>
                </c:pt>
                <c:pt idx="2">
                  <c:v>1038.6666666666667</c:v>
                </c:pt>
                <c:pt idx="3">
                  <c:v>1429</c:v>
                </c:pt>
              </c:numCache>
            </c:numRef>
          </c:val>
          <c:extLst>
            <c:ext xmlns:c16="http://schemas.microsoft.com/office/drawing/2014/chart" uri="{C3380CC4-5D6E-409C-BE32-E72D297353CC}">
              <c16:uniqueId val="{00000000-6557-415F-94A0-127EB9CF5A0C}"/>
            </c:ext>
          </c:extLst>
        </c:ser>
        <c:ser>
          <c:idx val="1"/>
          <c:order val="1"/>
          <c:tx>
            <c:strRef>
              <c:f>Sheet2!$C$3</c:f>
              <c:strCache>
                <c:ptCount val="1"/>
                <c:pt idx="0">
                  <c:v>Average of Max_BPM</c:v>
                </c:pt>
              </c:strCache>
            </c:strRef>
          </c:tx>
          <c:spPr>
            <a:solidFill>
              <a:schemeClr val="accent2"/>
            </a:solidFill>
            <a:ln>
              <a:noFill/>
            </a:ln>
            <a:effectLst/>
          </c:spPr>
          <c:invertIfNegative val="0"/>
          <c:cat>
            <c:strRef>
              <c:f>Sheet2!$A$4:$A$8</c:f>
              <c:strCache>
                <c:ptCount val="4"/>
                <c:pt idx="0">
                  <c:v>Cardio</c:v>
                </c:pt>
                <c:pt idx="1">
                  <c:v>HIIT</c:v>
                </c:pt>
                <c:pt idx="2">
                  <c:v>Strength</c:v>
                </c:pt>
                <c:pt idx="3">
                  <c:v>Yoga</c:v>
                </c:pt>
              </c:strCache>
            </c:strRef>
          </c:cat>
          <c:val>
            <c:numRef>
              <c:f>Sheet2!$C$4:$C$8</c:f>
              <c:numCache>
                <c:formatCode>General</c:formatCode>
                <c:ptCount val="4"/>
                <c:pt idx="0">
                  <c:v>188</c:v>
                </c:pt>
                <c:pt idx="1">
                  <c:v>187</c:v>
                </c:pt>
                <c:pt idx="2">
                  <c:v>181.66666666666666</c:v>
                </c:pt>
                <c:pt idx="3">
                  <c:v>198</c:v>
                </c:pt>
              </c:numCache>
            </c:numRef>
          </c:val>
          <c:extLst>
            <c:ext xmlns:c16="http://schemas.microsoft.com/office/drawing/2014/chart" uri="{C3380CC4-5D6E-409C-BE32-E72D297353CC}">
              <c16:uniqueId val="{00000040-6557-415F-94A0-127EB9CF5A0C}"/>
            </c:ext>
          </c:extLst>
        </c:ser>
        <c:dLbls>
          <c:showLegendKey val="0"/>
          <c:showVal val="0"/>
          <c:showCatName val="0"/>
          <c:showSerName val="0"/>
          <c:showPercent val="0"/>
          <c:showBubbleSize val="0"/>
        </c:dLbls>
        <c:gapWidth val="219"/>
        <c:overlap val="-27"/>
        <c:axId val="201774415"/>
        <c:axId val="201775855"/>
      </c:barChart>
      <c:catAx>
        <c:axId val="2017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855"/>
        <c:crosses val="autoZero"/>
        <c:auto val="1"/>
        <c:lblAlgn val="ctr"/>
        <c:lblOffset val="100"/>
        <c:noMultiLvlLbl val="0"/>
      </c:catAx>
      <c:valAx>
        <c:axId val="2017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Modified.xlsx]Sheet2!PivotTable5</c:name>
    <c:fmtId val="0"/>
  </c:pivotSource>
  <c:chart>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pPr>
            <a:solidFill>
              <a:schemeClr val="accent6"/>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pPr>
            <a:solidFill>
              <a:schemeClr val="accent6"/>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Sheet2!$B$12</c:f>
              <c:strCache>
                <c:ptCount val="1"/>
                <c:pt idx="0">
                  <c:v>Average of Weight (kg)</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Sheet2!$A$13</c:f>
              <c:strCache>
                <c:ptCount val="1"/>
                <c:pt idx="0">
                  <c:v>Grand Total</c:v>
                </c:pt>
              </c:strCache>
            </c:strRef>
          </c:cat>
          <c:val>
            <c:numRef>
              <c:f>Sheet2!$B$13</c:f>
              <c:numCache>
                <c:formatCode>General</c:formatCode>
                <c:ptCount val="1"/>
              </c:numCache>
            </c:numRef>
          </c:val>
          <c:extLst>
            <c:ext xmlns:c16="http://schemas.microsoft.com/office/drawing/2014/chart" uri="{C3380CC4-5D6E-409C-BE32-E72D297353CC}">
              <c16:uniqueId val="{00000000-AF72-49EA-A6E9-090A90A9C5E7}"/>
            </c:ext>
          </c:extLst>
        </c:ser>
        <c:ser>
          <c:idx val="1"/>
          <c:order val="1"/>
          <c:tx>
            <c:strRef>
              <c:f>Sheet2!$C$12</c:f>
              <c:strCache>
                <c:ptCount val="1"/>
                <c:pt idx="0">
                  <c:v>Min of Age</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Sheet2!$A$13</c:f>
              <c:strCache>
                <c:ptCount val="1"/>
                <c:pt idx="0">
                  <c:v>Grand Total</c:v>
                </c:pt>
              </c:strCache>
            </c:strRef>
          </c:cat>
          <c:val>
            <c:numRef>
              <c:f>Sheet2!$C$13</c:f>
              <c:numCache>
                <c:formatCode>General</c:formatCode>
                <c:ptCount val="1"/>
              </c:numCache>
            </c:numRef>
          </c:val>
          <c:extLst>
            <c:ext xmlns:c16="http://schemas.microsoft.com/office/drawing/2014/chart" uri="{C3380CC4-5D6E-409C-BE32-E72D297353CC}">
              <c16:uniqueId val="{00000001-50CC-4771-8A2B-8D56EE825C5D}"/>
            </c:ext>
          </c:extLst>
        </c:ser>
        <c:dLbls>
          <c:showLegendKey val="0"/>
          <c:showVal val="1"/>
          <c:showCatName val="0"/>
          <c:showSerName val="0"/>
          <c:showPercent val="0"/>
          <c:showBubbleSize val="0"/>
        </c:dLbls>
        <c:gapWidth val="84"/>
        <c:gapDepth val="53"/>
        <c:shape val="box"/>
        <c:axId val="417831231"/>
        <c:axId val="417845631"/>
        <c:axId val="0"/>
      </c:bar3DChart>
      <c:catAx>
        <c:axId val="417831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845631"/>
        <c:crosses val="autoZero"/>
        <c:auto val="1"/>
        <c:lblAlgn val="ctr"/>
        <c:lblOffset val="100"/>
        <c:noMultiLvlLbl val="0"/>
      </c:catAx>
      <c:valAx>
        <c:axId val="4178456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83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Modified.xlsx]Sheet3!PivotTable4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Weight (kg)</c:v>
                </c:pt>
              </c:strCache>
            </c:strRef>
          </c:tx>
          <c:spPr>
            <a:solidFill>
              <a:schemeClr val="accent1"/>
            </a:solidFill>
            <a:ln>
              <a:noFill/>
            </a:ln>
            <a:effectLst/>
          </c:spPr>
          <c:invertIfNegative val="0"/>
          <c:cat>
            <c:strRef>
              <c:f>Sheet3!$A$2:$A$3</c:f>
              <c:strCache>
                <c:ptCount val="1"/>
                <c:pt idx="0">
                  <c:v>56</c:v>
                </c:pt>
              </c:strCache>
            </c:strRef>
          </c:cat>
          <c:val>
            <c:numRef>
              <c:f>Sheet3!$B$2:$B$3</c:f>
              <c:numCache>
                <c:formatCode>General</c:formatCode>
                <c:ptCount val="1"/>
                <c:pt idx="0">
                  <c:v>40</c:v>
                </c:pt>
              </c:numCache>
            </c:numRef>
          </c:val>
          <c:extLst>
            <c:ext xmlns:c16="http://schemas.microsoft.com/office/drawing/2014/chart" uri="{C3380CC4-5D6E-409C-BE32-E72D297353CC}">
              <c16:uniqueId val="{00000000-3B63-409E-B58D-F0F8DA1D49E2}"/>
            </c:ext>
          </c:extLst>
        </c:ser>
        <c:ser>
          <c:idx val="1"/>
          <c:order val="1"/>
          <c:tx>
            <c:strRef>
              <c:f>Sheet3!$C$1</c:f>
              <c:strCache>
                <c:ptCount val="1"/>
                <c:pt idx="0">
                  <c:v>Sum of Resting_BPM</c:v>
                </c:pt>
              </c:strCache>
            </c:strRef>
          </c:tx>
          <c:spPr>
            <a:solidFill>
              <a:schemeClr val="accent2"/>
            </a:solidFill>
            <a:ln>
              <a:noFill/>
            </a:ln>
            <a:effectLst/>
          </c:spPr>
          <c:invertIfNegative val="0"/>
          <c:cat>
            <c:strRef>
              <c:f>Sheet3!$A$2:$A$3</c:f>
              <c:strCache>
                <c:ptCount val="1"/>
                <c:pt idx="0">
                  <c:v>56</c:v>
                </c:pt>
              </c:strCache>
            </c:strRef>
          </c:cat>
          <c:val>
            <c:numRef>
              <c:f>Sheet3!$C$2:$C$3</c:f>
              <c:numCache>
                <c:formatCode>General</c:formatCode>
                <c:ptCount val="1"/>
                <c:pt idx="0">
                  <c:v>74</c:v>
                </c:pt>
              </c:numCache>
            </c:numRef>
          </c:val>
          <c:extLst>
            <c:ext xmlns:c16="http://schemas.microsoft.com/office/drawing/2014/chart" uri="{C3380CC4-5D6E-409C-BE32-E72D297353CC}">
              <c16:uniqueId val="{00000001-3B63-409E-B58D-F0F8DA1D49E2}"/>
            </c:ext>
          </c:extLst>
        </c:ser>
        <c:dLbls>
          <c:showLegendKey val="0"/>
          <c:showVal val="0"/>
          <c:showCatName val="0"/>
          <c:showSerName val="0"/>
          <c:showPercent val="0"/>
          <c:showBubbleSize val="0"/>
        </c:dLbls>
        <c:gapWidth val="219"/>
        <c:overlap val="-27"/>
        <c:axId val="847735344"/>
        <c:axId val="847736784"/>
      </c:barChart>
      <c:catAx>
        <c:axId val="84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36784"/>
        <c:crosses val="autoZero"/>
        <c:auto val="1"/>
        <c:lblAlgn val="ctr"/>
        <c:lblOffset val="100"/>
        <c:noMultiLvlLbl val="0"/>
      </c:catAx>
      <c:valAx>
        <c:axId val="84773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Female</c:v>
                </c:pt>
                <c:pt idx="1">
                  <c:v>Male</c:v>
                </c:pt>
              </c:strCache>
            </c:strRef>
          </c:cat>
          <c:val>
            <c:numRef>
              <c:f>Sheet4!$B$4:$B$6</c:f>
              <c:numCache>
                <c:formatCode>General</c:formatCode>
                <c:ptCount val="2"/>
                <c:pt idx="0">
                  <c:v>23.900000000000002</c:v>
                </c:pt>
                <c:pt idx="1">
                  <c:v>14.8</c:v>
                </c:pt>
              </c:numCache>
            </c:numRef>
          </c:val>
          <c:extLst>
            <c:ext xmlns:c16="http://schemas.microsoft.com/office/drawing/2014/chart" uri="{C3380CC4-5D6E-409C-BE32-E72D297353CC}">
              <c16:uniqueId val="{00000000-46F8-43E6-9C45-7663DD9AEE45}"/>
            </c:ext>
          </c:extLst>
        </c:ser>
        <c:dLbls>
          <c:showLegendKey val="0"/>
          <c:showVal val="0"/>
          <c:showCatName val="0"/>
          <c:showSerName val="0"/>
          <c:showPercent val="0"/>
          <c:showBubbleSize val="0"/>
        </c:dLbls>
        <c:gapWidth val="219"/>
        <c:overlap val="-27"/>
        <c:axId val="791586640"/>
        <c:axId val="791587120"/>
      </c:barChart>
      <c:catAx>
        <c:axId val="7915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7120"/>
        <c:crosses val="autoZero"/>
        <c:auto val="1"/>
        <c:lblAlgn val="ctr"/>
        <c:lblOffset val="100"/>
        <c:noMultiLvlLbl val="0"/>
      </c:catAx>
      <c:valAx>
        <c:axId val="79158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Sheet4!$N$3</c:f>
              <c:strCache>
                <c:ptCount val="1"/>
                <c:pt idx="0">
                  <c:v>Sum of Height (m)</c:v>
                </c:pt>
              </c:strCache>
            </c:strRef>
          </c:tx>
          <c:spPr>
            <a:solidFill>
              <a:schemeClr val="accent1"/>
            </a:solidFill>
            <a:ln>
              <a:noFill/>
            </a:ln>
            <a:effectLst/>
          </c:spPr>
          <c:invertIfNegative val="0"/>
          <c:cat>
            <c:strRef>
              <c:f>Sheet4!$M$4:$M$6</c:f>
              <c:strCache>
                <c:ptCount val="2"/>
                <c:pt idx="0">
                  <c:v>Female</c:v>
                </c:pt>
                <c:pt idx="1">
                  <c:v>Male</c:v>
                </c:pt>
              </c:strCache>
            </c:strRef>
          </c:cat>
          <c:val>
            <c:numRef>
              <c:f>Sheet4!$N$4:$N$6</c:f>
              <c:numCache>
                <c:formatCode>General</c:formatCode>
                <c:ptCount val="2"/>
                <c:pt idx="0">
                  <c:v>17.420000000000002</c:v>
                </c:pt>
                <c:pt idx="1">
                  <c:v>10.55</c:v>
                </c:pt>
              </c:numCache>
            </c:numRef>
          </c:val>
          <c:extLst>
            <c:ext xmlns:c16="http://schemas.microsoft.com/office/drawing/2014/chart" uri="{C3380CC4-5D6E-409C-BE32-E72D297353CC}">
              <c16:uniqueId val="{00000000-8449-4017-B385-EBFBF33BA0E9}"/>
            </c:ext>
          </c:extLst>
        </c:ser>
        <c:ser>
          <c:idx val="1"/>
          <c:order val="1"/>
          <c:tx>
            <c:strRef>
              <c:f>Sheet4!$O$3</c:f>
              <c:strCache>
                <c:ptCount val="1"/>
                <c:pt idx="0">
                  <c:v>Sum of Weight (kg)</c:v>
                </c:pt>
              </c:strCache>
            </c:strRef>
          </c:tx>
          <c:spPr>
            <a:solidFill>
              <a:schemeClr val="accent2"/>
            </a:solidFill>
            <a:ln>
              <a:noFill/>
            </a:ln>
            <a:effectLst/>
          </c:spPr>
          <c:invertIfNegative val="0"/>
          <c:cat>
            <c:strRef>
              <c:f>Sheet4!$M$4:$M$6</c:f>
              <c:strCache>
                <c:ptCount val="2"/>
                <c:pt idx="0">
                  <c:v>Female</c:v>
                </c:pt>
                <c:pt idx="1">
                  <c:v>Male</c:v>
                </c:pt>
              </c:strCache>
            </c:strRef>
          </c:cat>
          <c:val>
            <c:numRef>
              <c:f>Sheet4!$O$4:$O$6</c:f>
              <c:numCache>
                <c:formatCode>General</c:formatCode>
                <c:ptCount val="2"/>
                <c:pt idx="0">
                  <c:v>687.40000000000009</c:v>
                </c:pt>
                <c:pt idx="1">
                  <c:v>343.6</c:v>
                </c:pt>
              </c:numCache>
            </c:numRef>
          </c:val>
          <c:extLst>
            <c:ext xmlns:c16="http://schemas.microsoft.com/office/drawing/2014/chart" uri="{C3380CC4-5D6E-409C-BE32-E72D297353CC}">
              <c16:uniqueId val="{00000001-8449-4017-B385-EBFBF33BA0E9}"/>
            </c:ext>
          </c:extLst>
        </c:ser>
        <c:dLbls>
          <c:showLegendKey val="0"/>
          <c:showVal val="0"/>
          <c:showCatName val="0"/>
          <c:showSerName val="0"/>
          <c:showPercent val="0"/>
          <c:showBubbleSize val="0"/>
        </c:dLbls>
        <c:gapWidth val="219"/>
        <c:overlap val="-27"/>
        <c:axId val="791546800"/>
        <c:axId val="791536720"/>
      </c:barChart>
      <c:catAx>
        <c:axId val="791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36720"/>
        <c:crosses val="autoZero"/>
        <c:auto val="1"/>
        <c:lblAlgn val="ctr"/>
        <c:lblOffset val="100"/>
        <c:noMultiLvlLbl val="0"/>
      </c:catAx>
      <c:valAx>
        <c:axId val="7915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Sheet4!$M$27</c:f>
              <c:strCache>
                <c:ptCount val="1"/>
                <c:pt idx="0">
                  <c:v>Sum of Weight (kg)</c:v>
                </c:pt>
              </c:strCache>
            </c:strRef>
          </c:tx>
          <c:spPr>
            <a:solidFill>
              <a:schemeClr val="accent1"/>
            </a:solidFill>
            <a:ln>
              <a:noFill/>
            </a:ln>
            <a:effectLst/>
          </c:spPr>
          <c:invertIfNegative val="0"/>
          <c:cat>
            <c:strRef>
              <c:f>Sheet4!$L$28:$L$30</c:f>
              <c:strCache>
                <c:ptCount val="2"/>
                <c:pt idx="0">
                  <c:v>Female</c:v>
                </c:pt>
                <c:pt idx="1">
                  <c:v>Male</c:v>
                </c:pt>
              </c:strCache>
            </c:strRef>
          </c:cat>
          <c:val>
            <c:numRef>
              <c:f>Sheet4!$M$28:$M$30</c:f>
              <c:numCache>
                <c:formatCode>General</c:formatCode>
                <c:ptCount val="2"/>
                <c:pt idx="0">
                  <c:v>687.40000000000009</c:v>
                </c:pt>
                <c:pt idx="1">
                  <c:v>343.6</c:v>
                </c:pt>
              </c:numCache>
            </c:numRef>
          </c:val>
          <c:extLst>
            <c:ext xmlns:c16="http://schemas.microsoft.com/office/drawing/2014/chart" uri="{C3380CC4-5D6E-409C-BE32-E72D297353CC}">
              <c16:uniqueId val="{00000000-C0BB-4C4D-A14F-4F3C44531889}"/>
            </c:ext>
          </c:extLst>
        </c:ser>
        <c:ser>
          <c:idx val="1"/>
          <c:order val="1"/>
          <c:tx>
            <c:strRef>
              <c:f>Sheet4!$N$27</c:f>
              <c:strCache>
                <c:ptCount val="1"/>
                <c:pt idx="0">
                  <c:v>Sum of Resting_BPM</c:v>
                </c:pt>
              </c:strCache>
            </c:strRef>
          </c:tx>
          <c:spPr>
            <a:solidFill>
              <a:schemeClr val="accent2"/>
            </a:solidFill>
            <a:ln>
              <a:noFill/>
            </a:ln>
            <a:effectLst/>
          </c:spPr>
          <c:invertIfNegative val="0"/>
          <c:cat>
            <c:strRef>
              <c:f>Sheet4!$L$28:$L$30</c:f>
              <c:strCache>
                <c:ptCount val="2"/>
                <c:pt idx="0">
                  <c:v>Female</c:v>
                </c:pt>
                <c:pt idx="1">
                  <c:v>Male</c:v>
                </c:pt>
              </c:strCache>
            </c:strRef>
          </c:cat>
          <c:val>
            <c:numRef>
              <c:f>Sheet4!$N$28:$N$30</c:f>
              <c:numCache>
                <c:formatCode>General</c:formatCode>
                <c:ptCount val="2"/>
                <c:pt idx="0">
                  <c:v>587</c:v>
                </c:pt>
                <c:pt idx="1">
                  <c:v>409</c:v>
                </c:pt>
              </c:numCache>
            </c:numRef>
          </c:val>
          <c:extLst>
            <c:ext xmlns:c16="http://schemas.microsoft.com/office/drawing/2014/chart" uri="{C3380CC4-5D6E-409C-BE32-E72D297353CC}">
              <c16:uniqueId val="{00000001-C0BB-4C4D-A14F-4F3C44531889}"/>
            </c:ext>
          </c:extLst>
        </c:ser>
        <c:dLbls>
          <c:showLegendKey val="0"/>
          <c:showVal val="0"/>
          <c:showCatName val="0"/>
          <c:showSerName val="0"/>
          <c:showPercent val="0"/>
          <c:showBubbleSize val="0"/>
        </c:dLbls>
        <c:gapWidth val="219"/>
        <c:overlap val="-27"/>
        <c:axId val="385954000"/>
        <c:axId val="385955920"/>
      </c:barChart>
      <c:catAx>
        <c:axId val="3859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5920"/>
        <c:crosses val="autoZero"/>
        <c:auto val="1"/>
        <c:lblAlgn val="ctr"/>
        <c:lblOffset val="100"/>
        <c:noMultiLvlLbl val="0"/>
      </c:catAx>
      <c:valAx>
        <c:axId val="3859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Sheet4!$B$36</c:f>
              <c:strCache>
                <c:ptCount val="1"/>
                <c:pt idx="0">
                  <c:v>Average of Weight (kg)</c:v>
                </c:pt>
              </c:strCache>
            </c:strRef>
          </c:tx>
          <c:spPr>
            <a:solidFill>
              <a:schemeClr val="accent1"/>
            </a:solidFill>
            <a:ln>
              <a:noFill/>
            </a:ln>
            <a:effectLst/>
          </c:spPr>
          <c:invertIfNegative val="0"/>
          <c:cat>
            <c:strRef>
              <c:f>Sheet4!$A$37:$A$39</c:f>
              <c:strCache>
                <c:ptCount val="2"/>
                <c:pt idx="0">
                  <c:v>Female</c:v>
                </c:pt>
                <c:pt idx="1">
                  <c:v>Male</c:v>
                </c:pt>
              </c:strCache>
            </c:strRef>
          </c:cat>
          <c:val>
            <c:numRef>
              <c:f>Sheet4!$B$37:$B$39</c:f>
              <c:numCache>
                <c:formatCode>General</c:formatCode>
                <c:ptCount val="2"/>
                <c:pt idx="0">
                  <c:v>68.740000000000009</c:v>
                </c:pt>
                <c:pt idx="1">
                  <c:v>57.266666666666673</c:v>
                </c:pt>
              </c:numCache>
            </c:numRef>
          </c:val>
          <c:extLst>
            <c:ext xmlns:c16="http://schemas.microsoft.com/office/drawing/2014/chart" uri="{C3380CC4-5D6E-409C-BE32-E72D297353CC}">
              <c16:uniqueId val="{00000000-4C4E-4ADE-88E9-02AF5B27C2E4}"/>
            </c:ext>
          </c:extLst>
        </c:ser>
        <c:ser>
          <c:idx val="1"/>
          <c:order val="1"/>
          <c:tx>
            <c:strRef>
              <c:f>Sheet4!$C$36</c:f>
              <c:strCache>
                <c:ptCount val="1"/>
                <c:pt idx="0">
                  <c:v>Min of Age</c:v>
                </c:pt>
              </c:strCache>
            </c:strRef>
          </c:tx>
          <c:spPr>
            <a:solidFill>
              <a:schemeClr val="accent2"/>
            </a:solidFill>
            <a:ln>
              <a:noFill/>
            </a:ln>
            <a:effectLst/>
          </c:spPr>
          <c:invertIfNegative val="0"/>
          <c:cat>
            <c:strRef>
              <c:f>Sheet4!$A$37:$A$39</c:f>
              <c:strCache>
                <c:ptCount val="2"/>
                <c:pt idx="0">
                  <c:v>Female</c:v>
                </c:pt>
                <c:pt idx="1">
                  <c:v>Male</c:v>
                </c:pt>
              </c:strCache>
            </c:strRef>
          </c:cat>
          <c:val>
            <c:numRef>
              <c:f>Sheet4!$C$37:$C$39</c:f>
              <c:numCache>
                <c:formatCode>General</c:formatCode>
                <c:ptCount val="2"/>
                <c:pt idx="0">
                  <c:v>24</c:v>
                </c:pt>
                <c:pt idx="1">
                  <c:v>18</c:v>
                </c:pt>
              </c:numCache>
            </c:numRef>
          </c:val>
          <c:extLst>
            <c:ext xmlns:c16="http://schemas.microsoft.com/office/drawing/2014/chart" uri="{C3380CC4-5D6E-409C-BE32-E72D297353CC}">
              <c16:uniqueId val="{00000001-4C4E-4ADE-88E9-02AF5B27C2E4}"/>
            </c:ext>
          </c:extLst>
        </c:ser>
        <c:dLbls>
          <c:showLegendKey val="0"/>
          <c:showVal val="0"/>
          <c:showCatName val="0"/>
          <c:showSerName val="0"/>
          <c:showPercent val="0"/>
          <c:showBubbleSize val="0"/>
        </c:dLbls>
        <c:gapWidth val="182"/>
        <c:axId val="826574192"/>
        <c:axId val="826564592"/>
      </c:barChart>
      <c:catAx>
        <c:axId val="8265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4592"/>
        <c:crosses val="autoZero"/>
        <c:auto val="1"/>
        <c:lblAlgn val="ctr"/>
        <c:lblOffset val="100"/>
        <c:noMultiLvlLbl val="0"/>
      </c:catAx>
      <c:valAx>
        <c:axId val="82656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Sheet4!$B$36</c:f>
              <c:strCache>
                <c:ptCount val="1"/>
                <c:pt idx="0">
                  <c:v>Average of Weight (kg)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0A-4F59-9779-997A614C9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A-4F59-9779-997A614C9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Sheet4!$B$37:$B$39</c:f>
              <c:numCache>
                <c:formatCode>General</c:formatCode>
                <c:ptCount val="2"/>
                <c:pt idx="0">
                  <c:v>68.740000000000009</c:v>
                </c:pt>
                <c:pt idx="1">
                  <c:v>57.266666666666673</c:v>
                </c:pt>
              </c:numCache>
            </c:numRef>
          </c:val>
          <c:extLst>
            <c:ext xmlns:c16="http://schemas.microsoft.com/office/drawing/2014/chart" uri="{C3380CC4-5D6E-409C-BE32-E72D297353CC}">
              <c16:uniqueId val="{00000000-A6C0-4256-A872-938FBDC03AA1}"/>
            </c:ext>
          </c:extLst>
        </c:ser>
        <c:ser>
          <c:idx val="1"/>
          <c:order val="1"/>
          <c:tx>
            <c:strRef>
              <c:f>Sheet4!$C$36</c:f>
              <c:strCache>
                <c:ptCount val="1"/>
                <c:pt idx="0">
                  <c:v>Min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0A-4F59-9779-997A614C9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0A-4F59-9779-997A614C9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Sheet4!$C$37:$C$39</c:f>
              <c:numCache>
                <c:formatCode>General</c:formatCode>
                <c:ptCount val="2"/>
                <c:pt idx="0">
                  <c:v>24</c:v>
                </c:pt>
                <c:pt idx="1">
                  <c:v>18</c:v>
                </c:pt>
              </c:numCache>
            </c:numRef>
          </c:val>
          <c:extLst>
            <c:ext xmlns:c16="http://schemas.microsoft.com/office/drawing/2014/chart" uri="{C3380CC4-5D6E-409C-BE32-E72D297353CC}">
              <c16:uniqueId val="{00000001-A6C0-4256-A872-938FBDC03A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Average of Calories_Burned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80-4D8D-A014-B8E7C6DC54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80-4D8D-A014-B8E7C6DC54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80-4D8D-A014-B8E7C6DC54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D80-4D8D-A014-B8E7C6DC5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Sheet4!$A$46:$A$49</c:f>
              <c:strCache>
                <c:ptCount val="3"/>
                <c:pt idx="0">
                  <c:v>Cardio</c:v>
                </c:pt>
                <c:pt idx="1">
                  <c:v>Strength</c:v>
                </c:pt>
                <c:pt idx="2">
                  <c:v>Yoga</c:v>
                </c:pt>
              </c:strCache>
            </c:strRef>
          </c:cat>
          <c:val>
            <c:numRef>
              <c:f>Sheet4!$B$46:$B$49</c:f>
              <c:numCache>
                <c:formatCode>General</c:formatCode>
                <c:ptCount val="3"/>
                <c:pt idx="0">
                  <c:v>1221.8888888888889</c:v>
                </c:pt>
                <c:pt idx="1">
                  <c:v>902</c:v>
                </c:pt>
                <c:pt idx="2">
                  <c:v>1198.3333333333333</c:v>
                </c:pt>
              </c:numCache>
            </c:numRef>
          </c:val>
          <c:extLst>
            <c:ext xmlns:c16="http://schemas.microsoft.com/office/drawing/2014/chart" uri="{C3380CC4-5D6E-409C-BE32-E72D297353CC}">
              <c16:uniqueId val="{00000000-1479-4758-8E36-2C02F6E13A81}"/>
            </c:ext>
          </c:extLst>
        </c:ser>
        <c:ser>
          <c:idx val="1"/>
          <c:order val="1"/>
          <c:tx>
            <c:strRef>
              <c:f>Sheet4!$C$45</c:f>
              <c:strCache>
                <c:ptCount val="1"/>
                <c:pt idx="0">
                  <c:v>Average of Max_BPM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D80-4D8D-A014-B8E7C6DC54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CD80-4D8D-A014-B8E7C6DC54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CD80-4D8D-A014-B8E7C6DC54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CD80-4D8D-A014-B8E7C6DC5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Sheet4!$A$46:$A$49</c:f>
              <c:strCache>
                <c:ptCount val="3"/>
                <c:pt idx="0">
                  <c:v>Cardio</c:v>
                </c:pt>
                <c:pt idx="1">
                  <c:v>Strength</c:v>
                </c:pt>
                <c:pt idx="2">
                  <c:v>Yoga</c:v>
                </c:pt>
              </c:strCache>
            </c:strRef>
          </c:cat>
          <c:val>
            <c:numRef>
              <c:f>Sheet4!$C$46:$C$49</c:f>
              <c:numCache>
                <c:formatCode>General</c:formatCode>
                <c:ptCount val="3"/>
                <c:pt idx="0">
                  <c:v>182.88888888888889</c:v>
                </c:pt>
                <c:pt idx="1">
                  <c:v>170.5</c:v>
                </c:pt>
                <c:pt idx="2">
                  <c:v>178</c:v>
                </c:pt>
              </c:numCache>
            </c:numRef>
          </c:val>
          <c:extLst>
            <c:ext xmlns:c16="http://schemas.microsoft.com/office/drawing/2014/chart" uri="{C3380CC4-5D6E-409C-BE32-E72D297353CC}">
              <c16:uniqueId val="{00000001-1479-4758-8E36-2C02F6E13A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Height(m) &amp; Weight(kg)</a:t>
            </a:r>
          </a:p>
        </c:rich>
      </c:tx>
      <c:layout>
        <c:manualLayout>
          <c:xMode val="edge"/>
          <c:yMode val="edge"/>
          <c:x val="0.1179516237829174"/>
          <c:y val="0.132670466400904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Sheet4!$N$3</c:f>
              <c:strCache>
                <c:ptCount val="1"/>
                <c:pt idx="0">
                  <c:v>Sum of Height (m)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Sheet4!$M$4:$M$6</c:f>
              <c:strCache>
                <c:ptCount val="2"/>
                <c:pt idx="0">
                  <c:v>Female</c:v>
                </c:pt>
                <c:pt idx="1">
                  <c:v>Male</c:v>
                </c:pt>
              </c:strCache>
            </c:strRef>
          </c:cat>
          <c:val>
            <c:numRef>
              <c:f>Sheet4!$N$4:$N$6</c:f>
              <c:numCache>
                <c:formatCode>General</c:formatCode>
                <c:ptCount val="2"/>
                <c:pt idx="0">
                  <c:v>17.420000000000002</c:v>
                </c:pt>
                <c:pt idx="1">
                  <c:v>10.55</c:v>
                </c:pt>
              </c:numCache>
            </c:numRef>
          </c:val>
          <c:extLst>
            <c:ext xmlns:c16="http://schemas.microsoft.com/office/drawing/2014/chart" uri="{C3380CC4-5D6E-409C-BE32-E72D297353CC}">
              <c16:uniqueId val="{00000000-9E9C-4108-B2E4-19CE8C04B4A9}"/>
            </c:ext>
          </c:extLst>
        </c:ser>
        <c:ser>
          <c:idx val="1"/>
          <c:order val="1"/>
          <c:tx>
            <c:strRef>
              <c:f>Sheet4!$O$3</c:f>
              <c:strCache>
                <c:ptCount val="1"/>
                <c:pt idx="0">
                  <c:v>Sum of Weight (kg)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Sheet4!$M$4:$M$6</c:f>
              <c:strCache>
                <c:ptCount val="2"/>
                <c:pt idx="0">
                  <c:v>Female</c:v>
                </c:pt>
                <c:pt idx="1">
                  <c:v>Male</c:v>
                </c:pt>
              </c:strCache>
            </c:strRef>
          </c:cat>
          <c:val>
            <c:numRef>
              <c:f>Sheet4!$O$4:$O$6</c:f>
              <c:numCache>
                <c:formatCode>General</c:formatCode>
                <c:ptCount val="2"/>
                <c:pt idx="0">
                  <c:v>687.40000000000009</c:v>
                </c:pt>
                <c:pt idx="1">
                  <c:v>343.6</c:v>
                </c:pt>
              </c:numCache>
            </c:numRef>
          </c:val>
          <c:extLst>
            <c:ext xmlns:c16="http://schemas.microsoft.com/office/drawing/2014/chart" uri="{C3380CC4-5D6E-409C-BE32-E72D297353CC}">
              <c16:uniqueId val="{00000001-9E9C-4108-B2E4-19CE8C04B4A9}"/>
            </c:ext>
          </c:extLst>
        </c:ser>
        <c:dLbls>
          <c:dLblPos val="outEnd"/>
          <c:showLegendKey val="0"/>
          <c:showVal val="1"/>
          <c:showCatName val="0"/>
          <c:showSerName val="0"/>
          <c:showPercent val="0"/>
          <c:showBubbleSize val="0"/>
        </c:dLbls>
        <c:gapWidth val="219"/>
        <c:overlap val="-27"/>
        <c:axId val="791546800"/>
        <c:axId val="791536720"/>
      </c:barChart>
      <c:catAx>
        <c:axId val="791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36720"/>
        <c:crosses val="autoZero"/>
        <c:auto val="1"/>
        <c:lblAlgn val="ctr"/>
        <c:lblOffset val="100"/>
        <c:noMultiLvlLbl val="0"/>
      </c:catAx>
      <c:valAx>
        <c:axId val="7915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Average of Calories_Burned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2A-4CD4-8B74-36990EEA1B4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2A-4CD4-8B74-36990EEA1B4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2A-4CD4-8B74-36990EEA1B4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42A-4CD4-8B74-36990EEA1B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Sheet4!$A$46:$A$49</c:f>
              <c:strCache>
                <c:ptCount val="3"/>
                <c:pt idx="0">
                  <c:v>Cardio</c:v>
                </c:pt>
                <c:pt idx="1">
                  <c:v>Strength</c:v>
                </c:pt>
                <c:pt idx="2">
                  <c:v>Yoga</c:v>
                </c:pt>
              </c:strCache>
            </c:strRef>
          </c:cat>
          <c:val>
            <c:numRef>
              <c:f>Sheet4!$B$46:$B$49</c:f>
              <c:numCache>
                <c:formatCode>General</c:formatCode>
                <c:ptCount val="3"/>
                <c:pt idx="0">
                  <c:v>1221.8888888888889</c:v>
                </c:pt>
                <c:pt idx="1">
                  <c:v>902</c:v>
                </c:pt>
                <c:pt idx="2">
                  <c:v>1198.3333333333333</c:v>
                </c:pt>
              </c:numCache>
            </c:numRef>
          </c:val>
          <c:extLst>
            <c:ext xmlns:c16="http://schemas.microsoft.com/office/drawing/2014/chart" uri="{C3380CC4-5D6E-409C-BE32-E72D297353CC}">
              <c16:uniqueId val="{00000008-442A-4CD4-8B74-36990EEA1B49}"/>
            </c:ext>
          </c:extLst>
        </c:ser>
        <c:ser>
          <c:idx val="1"/>
          <c:order val="1"/>
          <c:tx>
            <c:strRef>
              <c:f>Sheet4!$C$45</c:f>
              <c:strCache>
                <c:ptCount val="1"/>
                <c:pt idx="0">
                  <c:v>Average of Max_BPM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442A-4CD4-8B74-36990EEA1B4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442A-4CD4-8B74-36990EEA1B4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442A-4CD4-8B74-36990EEA1B4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442A-4CD4-8B74-36990EEA1B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Sheet4!$A$46:$A$49</c:f>
              <c:strCache>
                <c:ptCount val="3"/>
                <c:pt idx="0">
                  <c:v>Cardio</c:v>
                </c:pt>
                <c:pt idx="1">
                  <c:v>Strength</c:v>
                </c:pt>
                <c:pt idx="2">
                  <c:v>Yoga</c:v>
                </c:pt>
              </c:strCache>
            </c:strRef>
          </c:cat>
          <c:val>
            <c:numRef>
              <c:f>Sheet4!$C$46:$C$49</c:f>
              <c:numCache>
                <c:formatCode>General</c:formatCode>
                <c:ptCount val="3"/>
                <c:pt idx="0">
                  <c:v>182.88888888888889</c:v>
                </c:pt>
                <c:pt idx="1">
                  <c:v>170.5</c:v>
                </c:pt>
                <c:pt idx="2">
                  <c:v>178</c:v>
                </c:pt>
              </c:numCache>
            </c:numRef>
          </c:val>
          <c:extLst>
            <c:ext xmlns:c16="http://schemas.microsoft.com/office/drawing/2014/chart" uri="{C3380CC4-5D6E-409C-BE32-E72D297353CC}">
              <c16:uniqueId val="{00000011-442A-4CD4-8B74-36990EEA1B4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5510597302504814"/>
          <c:y val="0.4450686297775015"/>
          <c:w val="0.31791907514450868"/>
          <c:h val="0.45195611893716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Weight by Age</a:t>
            </a:r>
          </a:p>
        </c:rich>
      </c:tx>
      <c:layout>
        <c:manualLayout>
          <c:xMode val="edge"/>
          <c:yMode val="edge"/>
          <c:x val="0.23529123329497853"/>
          <c:y val="0.151296765870367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Sheet4!$B$36</c:f>
              <c:strCache>
                <c:ptCount val="1"/>
                <c:pt idx="0">
                  <c:v>Average of Weight (kg)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Sheet4!$A$37:$A$39</c:f>
              <c:strCache>
                <c:ptCount val="2"/>
                <c:pt idx="0">
                  <c:v>Female</c:v>
                </c:pt>
                <c:pt idx="1">
                  <c:v>Male</c:v>
                </c:pt>
              </c:strCache>
            </c:strRef>
          </c:cat>
          <c:val>
            <c:numRef>
              <c:f>Sheet4!$B$37:$B$39</c:f>
              <c:numCache>
                <c:formatCode>General</c:formatCode>
                <c:ptCount val="2"/>
                <c:pt idx="0">
                  <c:v>68.740000000000009</c:v>
                </c:pt>
                <c:pt idx="1">
                  <c:v>57.266666666666673</c:v>
                </c:pt>
              </c:numCache>
            </c:numRef>
          </c:val>
          <c:extLst>
            <c:ext xmlns:c16="http://schemas.microsoft.com/office/drawing/2014/chart" uri="{C3380CC4-5D6E-409C-BE32-E72D297353CC}">
              <c16:uniqueId val="{00000000-CA67-4A8F-82E0-008E9D056831}"/>
            </c:ext>
          </c:extLst>
        </c:ser>
        <c:ser>
          <c:idx val="1"/>
          <c:order val="1"/>
          <c:tx>
            <c:strRef>
              <c:f>Sheet4!$C$36</c:f>
              <c:strCache>
                <c:ptCount val="1"/>
                <c:pt idx="0">
                  <c:v>Min of 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Sheet4!$A$37:$A$39</c:f>
              <c:strCache>
                <c:ptCount val="2"/>
                <c:pt idx="0">
                  <c:v>Female</c:v>
                </c:pt>
                <c:pt idx="1">
                  <c:v>Male</c:v>
                </c:pt>
              </c:strCache>
            </c:strRef>
          </c:cat>
          <c:val>
            <c:numRef>
              <c:f>Sheet4!$C$37:$C$39</c:f>
              <c:numCache>
                <c:formatCode>General</c:formatCode>
                <c:ptCount val="2"/>
                <c:pt idx="0">
                  <c:v>24</c:v>
                </c:pt>
                <c:pt idx="1">
                  <c:v>18</c:v>
                </c:pt>
              </c:numCache>
            </c:numRef>
          </c:val>
          <c:extLst>
            <c:ext xmlns:c16="http://schemas.microsoft.com/office/drawing/2014/chart" uri="{C3380CC4-5D6E-409C-BE32-E72D297353CC}">
              <c16:uniqueId val="{00000001-CA67-4A8F-82E0-008E9D056831}"/>
            </c:ext>
          </c:extLst>
        </c:ser>
        <c:dLbls>
          <c:dLblPos val="outEnd"/>
          <c:showLegendKey val="0"/>
          <c:showVal val="1"/>
          <c:showCatName val="0"/>
          <c:showSerName val="0"/>
          <c:showPercent val="0"/>
          <c:showBubbleSize val="0"/>
        </c:dLbls>
        <c:gapWidth val="182"/>
        <c:axId val="826574192"/>
        <c:axId val="826564592"/>
      </c:barChart>
      <c:catAx>
        <c:axId val="8265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4592"/>
        <c:crosses val="autoZero"/>
        <c:auto val="1"/>
        <c:lblAlgn val="ctr"/>
        <c:lblOffset val="100"/>
        <c:noMultiLvlLbl val="0"/>
      </c:catAx>
      <c:valAx>
        <c:axId val="82656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74192"/>
        <c:crosses val="autoZero"/>
        <c:crossBetween val="between"/>
      </c:valAx>
      <c:spPr>
        <a:noFill/>
        <a:ln>
          <a:noFill/>
        </a:ln>
        <a:effectLst/>
      </c:spPr>
    </c:plotArea>
    <c:legend>
      <c:legendPos val="r"/>
      <c:layout>
        <c:manualLayout>
          <c:xMode val="edge"/>
          <c:yMode val="edge"/>
          <c:x val="0.76764158646835812"/>
          <c:y val="0.43057309737220445"/>
          <c:w val="0.21013619130941966"/>
          <c:h val="0.40247144649807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Sum of Weight&amp; Resting BPM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Sheet4!$M$27</c:f>
              <c:strCache>
                <c:ptCount val="1"/>
                <c:pt idx="0">
                  <c:v>Sum of Weight (kg)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Sheet4!$L$28:$L$30</c:f>
              <c:strCache>
                <c:ptCount val="2"/>
                <c:pt idx="0">
                  <c:v>Female</c:v>
                </c:pt>
                <c:pt idx="1">
                  <c:v>Male</c:v>
                </c:pt>
              </c:strCache>
            </c:strRef>
          </c:cat>
          <c:val>
            <c:numRef>
              <c:f>Sheet4!$M$28:$M$30</c:f>
              <c:numCache>
                <c:formatCode>General</c:formatCode>
                <c:ptCount val="2"/>
                <c:pt idx="0">
                  <c:v>687.40000000000009</c:v>
                </c:pt>
                <c:pt idx="1">
                  <c:v>343.6</c:v>
                </c:pt>
              </c:numCache>
            </c:numRef>
          </c:val>
          <c:extLst>
            <c:ext xmlns:c16="http://schemas.microsoft.com/office/drawing/2014/chart" uri="{C3380CC4-5D6E-409C-BE32-E72D297353CC}">
              <c16:uniqueId val="{00000000-D280-4867-8082-913D4B54E573}"/>
            </c:ext>
          </c:extLst>
        </c:ser>
        <c:ser>
          <c:idx val="1"/>
          <c:order val="1"/>
          <c:tx>
            <c:strRef>
              <c:f>Sheet4!$N$27</c:f>
              <c:strCache>
                <c:ptCount val="1"/>
                <c:pt idx="0">
                  <c:v>Sum of Resting_BPM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Sheet4!$L$28:$L$30</c:f>
              <c:strCache>
                <c:ptCount val="2"/>
                <c:pt idx="0">
                  <c:v>Female</c:v>
                </c:pt>
                <c:pt idx="1">
                  <c:v>Male</c:v>
                </c:pt>
              </c:strCache>
            </c:strRef>
          </c:cat>
          <c:val>
            <c:numRef>
              <c:f>Sheet4!$N$28:$N$30</c:f>
              <c:numCache>
                <c:formatCode>General</c:formatCode>
                <c:ptCount val="2"/>
                <c:pt idx="0">
                  <c:v>587</c:v>
                </c:pt>
                <c:pt idx="1">
                  <c:v>409</c:v>
                </c:pt>
              </c:numCache>
            </c:numRef>
          </c:val>
          <c:extLst>
            <c:ext xmlns:c16="http://schemas.microsoft.com/office/drawing/2014/chart" uri="{C3380CC4-5D6E-409C-BE32-E72D297353CC}">
              <c16:uniqueId val="{00000001-D280-4867-8082-913D4B54E573}"/>
            </c:ext>
          </c:extLst>
        </c:ser>
        <c:dLbls>
          <c:showLegendKey val="0"/>
          <c:showVal val="0"/>
          <c:showCatName val="0"/>
          <c:showSerName val="0"/>
          <c:showPercent val="0"/>
          <c:showBubbleSize val="0"/>
        </c:dLbls>
        <c:gapWidth val="100"/>
        <c:overlap val="-24"/>
        <c:axId val="385954000"/>
        <c:axId val="385955920"/>
      </c:barChart>
      <c:catAx>
        <c:axId val="385954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5955920"/>
        <c:crosses val="autoZero"/>
        <c:auto val="1"/>
        <c:lblAlgn val="ctr"/>
        <c:lblOffset val="100"/>
        <c:noMultiLvlLbl val="0"/>
      </c:catAx>
      <c:valAx>
        <c:axId val="385955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59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Modified.xlsx]Sheet4!PivotTable3</c:name>
    <c:fmtId val="2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Sheet4!$B$36</c:f>
              <c:strCache>
                <c:ptCount val="1"/>
                <c:pt idx="0">
                  <c:v>Average of Weight (kg)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C0-49EB-9098-136C826BE9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C0-49EB-9098-136C826BE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Sheet4!$B$37:$B$39</c:f>
              <c:numCache>
                <c:formatCode>General</c:formatCode>
                <c:ptCount val="2"/>
                <c:pt idx="0">
                  <c:v>68.740000000000009</c:v>
                </c:pt>
                <c:pt idx="1">
                  <c:v>57.266666666666673</c:v>
                </c:pt>
              </c:numCache>
            </c:numRef>
          </c:val>
          <c:extLst>
            <c:ext xmlns:c16="http://schemas.microsoft.com/office/drawing/2014/chart" uri="{C3380CC4-5D6E-409C-BE32-E72D297353CC}">
              <c16:uniqueId val="{00000004-1FC0-49EB-9098-136C826BE98E}"/>
            </c:ext>
          </c:extLst>
        </c:ser>
        <c:ser>
          <c:idx val="1"/>
          <c:order val="1"/>
          <c:tx>
            <c:strRef>
              <c:f>Sheet4!$C$36</c:f>
              <c:strCache>
                <c:ptCount val="1"/>
                <c:pt idx="0">
                  <c:v>Min of 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1FC0-49EB-9098-136C826BE9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1FC0-49EB-9098-136C826BE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Sheet4!$C$37:$C$39</c:f>
              <c:numCache>
                <c:formatCode>General</c:formatCode>
                <c:ptCount val="2"/>
                <c:pt idx="0">
                  <c:v>24</c:v>
                </c:pt>
                <c:pt idx="1">
                  <c:v>18</c:v>
                </c:pt>
              </c:numCache>
            </c:numRef>
          </c:val>
          <c:extLst>
            <c:ext xmlns:c16="http://schemas.microsoft.com/office/drawing/2014/chart" uri="{C3380CC4-5D6E-409C-BE32-E72D297353CC}">
              <c16:uniqueId val="{00000009-1FC0-49EB-9098-136C826BE98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 Modified.xlsx]Sheet4!PivotTable2</c:name>
    <c:fmtId val="1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Sheet4!$A$4:$A$6</c:f>
              <c:strCache>
                <c:ptCount val="2"/>
                <c:pt idx="0">
                  <c:v>Female</c:v>
                </c:pt>
                <c:pt idx="1">
                  <c:v>Male</c:v>
                </c:pt>
              </c:strCache>
            </c:strRef>
          </c:cat>
          <c:val>
            <c:numRef>
              <c:f>Sheet4!$B$4:$B$6</c:f>
              <c:numCache>
                <c:formatCode>General</c:formatCode>
                <c:ptCount val="2"/>
                <c:pt idx="0">
                  <c:v>23.900000000000002</c:v>
                </c:pt>
                <c:pt idx="1">
                  <c:v>14.8</c:v>
                </c:pt>
              </c:numCache>
            </c:numRef>
          </c:val>
          <c:extLst>
            <c:ext xmlns:c16="http://schemas.microsoft.com/office/drawing/2014/chart" uri="{C3380CC4-5D6E-409C-BE32-E72D297353CC}">
              <c16:uniqueId val="{00000000-7535-492A-A492-5D33A4B193A4}"/>
            </c:ext>
          </c:extLst>
        </c:ser>
        <c:dLbls>
          <c:dLblPos val="inEnd"/>
          <c:showLegendKey val="0"/>
          <c:showVal val="1"/>
          <c:showCatName val="0"/>
          <c:showSerName val="0"/>
          <c:showPercent val="0"/>
          <c:showBubbleSize val="0"/>
        </c:dLbls>
        <c:gapWidth val="41"/>
        <c:axId val="791586640"/>
        <c:axId val="791587120"/>
      </c:barChart>
      <c:catAx>
        <c:axId val="79158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91587120"/>
        <c:crosses val="autoZero"/>
        <c:auto val="1"/>
        <c:lblAlgn val="ctr"/>
        <c:lblOffset val="100"/>
        <c:noMultiLvlLbl val="0"/>
      </c:catAx>
      <c:valAx>
        <c:axId val="791587120"/>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79158664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9526</xdr:rowOff>
    </xdr:from>
    <xdr:to>
      <xdr:col>6</xdr:col>
      <xdr:colOff>476250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1D75CDC-0277-9C7F-5FD0-0B862996F9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05275" y="390526"/>
              <a:ext cx="2019300" cy="132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11</xdr:row>
      <xdr:rowOff>19050</xdr:rowOff>
    </xdr:from>
    <xdr:to>
      <xdr:col>7</xdr:col>
      <xdr:colOff>0</xdr:colOff>
      <xdr:row>23</xdr:row>
      <xdr:rowOff>180975</xdr:rowOff>
    </xdr:to>
    <mc:AlternateContent xmlns:mc="http://schemas.openxmlformats.org/markup-compatibility/2006" xmlns:a14="http://schemas.microsoft.com/office/drawing/2010/main">
      <mc:Choice Requires="a14">
        <xdr:graphicFrame macro="">
          <xdr:nvGraphicFramePr>
            <xdr:cNvPr id="4" name="Weight (kg)">
              <a:extLst>
                <a:ext uri="{FF2B5EF4-FFF2-40B4-BE49-F238E27FC236}">
                  <a16:creationId xmlns:a16="http://schemas.microsoft.com/office/drawing/2014/main" id="{9D94D721-6372-0D46-19DD-240DBCCEB206}"/>
                </a:ext>
              </a:extLst>
            </xdr:cNvPr>
            <xdr:cNvGraphicFramePr/>
          </xdr:nvGraphicFramePr>
          <xdr:xfrm>
            <a:off x="0" y="0"/>
            <a:ext cx="0" cy="0"/>
          </xdr:xfrm>
          <a:graphic>
            <a:graphicData uri="http://schemas.microsoft.com/office/drawing/2010/slicer">
              <sle:slicer xmlns:sle="http://schemas.microsoft.com/office/drawing/2010/slicer" name="Weight (kg)"/>
            </a:graphicData>
          </a:graphic>
        </xdr:graphicFrame>
      </mc:Choice>
      <mc:Fallback xmlns="">
        <xdr:sp macro="" textlink="">
          <xdr:nvSpPr>
            <xdr:cNvPr id="0" name=""/>
            <xdr:cNvSpPr>
              <a:spLocks noTextEdit="1"/>
            </xdr:cNvSpPr>
          </xdr:nvSpPr>
          <xdr:spPr>
            <a:xfrm>
              <a:off x="5076825" y="2114550"/>
              <a:ext cx="1828800" cy="244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11</xdr:row>
      <xdr:rowOff>9525</xdr:rowOff>
    </xdr:from>
    <xdr:to>
      <xdr:col>10</xdr:col>
      <xdr:colOff>19050</xdr:colOff>
      <xdr:row>24</xdr:row>
      <xdr:rowOff>9525</xdr:rowOff>
    </xdr:to>
    <mc:AlternateContent xmlns:mc="http://schemas.openxmlformats.org/markup-compatibility/2006" xmlns:a14="http://schemas.microsoft.com/office/drawing/2010/main">
      <mc:Choice Requires="a14">
        <xdr:graphicFrame macro="">
          <xdr:nvGraphicFramePr>
            <xdr:cNvPr id="5" name="Height (m)">
              <a:extLst>
                <a:ext uri="{FF2B5EF4-FFF2-40B4-BE49-F238E27FC236}">
                  <a16:creationId xmlns:a16="http://schemas.microsoft.com/office/drawing/2014/main" id="{7B135627-9446-3C90-7CE2-8D69FAE57372}"/>
                </a:ext>
              </a:extLst>
            </xdr:cNvPr>
            <xdr:cNvGraphicFramePr/>
          </xdr:nvGraphicFramePr>
          <xdr:xfrm>
            <a:off x="0" y="0"/>
            <a:ext cx="0" cy="0"/>
          </xdr:xfrm>
          <a:graphic>
            <a:graphicData uri="http://schemas.microsoft.com/office/drawing/2010/slicer">
              <sle:slicer xmlns:sle="http://schemas.microsoft.com/office/drawing/2010/slicer" name="Height (m)"/>
            </a:graphicData>
          </a:graphic>
        </xdr:graphicFrame>
      </mc:Choice>
      <mc:Fallback xmlns="">
        <xdr:sp macro="" textlink="">
          <xdr:nvSpPr>
            <xdr:cNvPr id="0" name=""/>
            <xdr:cNvSpPr>
              <a:spLocks noTextEdit="1"/>
            </xdr:cNvSpPr>
          </xdr:nvSpPr>
          <xdr:spPr>
            <a:xfrm>
              <a:off x="7134225" y="2105025"/>
              <a:ext cx="1381125"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9526</xdr:colOff>
      <xdr:row>25</xdr:row>
      <xdr:rowOff>9525</xdr:rowOff>
    </xdr:from>
    <xdr:to>
      <xdr:col>6</xdr:col>
      <xdr:colOff>790575</xdr:colOff>
      <xdr:row>38</xdr:row>
      <xdr:rowOff>9525</xdr:rowOff>
    </xdr:to>
    <mc:AlternateContent xmlns:mc="http://schemas.openxmlformats.org/markup-compatibility/2006" xmlns:a14="http://schemas.microsoft.com/office/drawing/2010/main">
      <mc:Choice Requires="a14">
        <xdr:graphicFrame macro="">
          <xdr:nvGraphicFramePr>
            <xdr:cNvPr id="6" name="Calories_Burned 1">
              <a:extLst>
                <a:ext uri="{FF2B5EF4-FFF2-40B4-BE49-F238E27FC236}">
                  <a16:creationId xmlns:a16="http://schemas.microsoft.com/office/drawing/2014/main" id="{E227DF7D-6AAD-FD55-13BB-F81FB65B7746}"/>
                </a:ext>
              </a:extLst>
            </xdr:cNvPr>
            <xdr:cNvGraphicFramePr/>
          </xdr:nvGraphicFramePr>
          <xdr:xfrm>
            <a:off x="0" y="0"/>
            <a:ext cx="0" cy="0"/>
          </xdr:xfrm>
          <a:graphic>
            <a:graphicData uri="http://schemas.microsoft.com/office/drawing/2010/slicer">
              <sle:slicer xmlns:sle="http://schemas.microsoft.com/office/drawing/2010/slicer" name="Calories_Burned 1"/>
            </a:graphicData>
          </a:graphic>
        </xdr:graphicFrame>
      </mc:Choice>
      <mc:Fallback xmlns="">
        <xdr:sp macro="" textlink="">
          <xdr:nvSpPr>
            <xdr:cNvPr id="0" name=""/>
            <xdr:cNvSpPr>
              <a:spLocks noTextEdit="1"/>
            </xdr:cNvSpPr>
          </xdr:nvSpPr>
          <xdr:spPr>
            <a:xfrm>
              <a:off x="5076825" y="4772025"/>
              <a:ext cx="18288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25</xdr:row>
      <xdr:rowOff>0</xdr:rowOff>
    </xdr:from>
    <xdr:to>
      <xdr:col>10</xdr:col>
      <xdr:colOff>0</xdr:colOff>
      <xdr:row>38</xdr:row>
      <xdr:rowOff>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0B662EA0-0756-B2F7-81D1-0643757292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34225" y="4762500"/>
              <a:ext cx="1362075"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190498</xdr:rowOff>
    </xdr:from>
    <xdr:to>
      <xdr:col>4</xdr:col>
      <xdr:colOff>0</xdr:colOff>
      <xdr:row>45</xdr:row>
      <xdr:rowOff>171450</xdr:rowOff>
    </xdr:to>
    <xdr:graphicFrame macro="">
      <xdr:nvGraphicFramePr>
        <xdr:cNvPr id="11" name="Chart 10">
          <a:extLst>
            <a:ext uri="{FF2B5EF4-FFF2-40B4-BE49-F238E27FC236}">
              <a16:creationId xmlns:a16="http://schemas.microsoft.com/office/drawing/2014/main" id="{2F60A19E-0E57-5A03-3254-5148A7871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40</xdr:row>
      <xdr:rowOff>4762</xdr:rowOff>
    </xdr:from>
    <xdr:to>
      <xdr:col>11</xdr:col>
      <xdr:colOff>390526</xdr:colOff>
      <xdr:row>54</xdr:row>
      <xdr:rowOff>0</xdr:rowOff>
    </xdr:to>
    <xdr:graphicFrame macro="">
      <xdr:nvGraphicFramePr>
        <xdr:cNvPr id="12" name="Chart 11">
          <a:extLst>
            <a:ext uri="{FF2B5EF4-FFF2-40B4-BE49-F238E27FC236}">
              <a16:creationId xmlns:a16="http://schemas.microsoft.com/office/drawing/2014/main" id="{AAC9B23A-9313-F740-072E-3162B49D0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19050</xdr:colOff>
      <xdr:row>0</xdr:row>
      <xdr:rowOff>0</xdr:rowOff>
    </xdr:from>
    <xdr:to>
      <xdr:col>10</xdr:col>
      <xdr:colOff>9525</xdr:colOff>
      <xdr:row>9</xdr:row>
      <xdr:rowOff>180975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3264C92B-7C5B-287A-B039-A45EF2823CE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143750" y="0"/>
              <a:ext cx="1362075" cy="18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285750</xdr:colOff>
      <xdr:row>0</xdr:row>
      <xdr:rowOff>0</xdr:rowOff>
    </xdr:from>
    <xdr:to>
      <xdr:col>7</xdr:col>
      <xdr:colOff>285750</xdr:colOff>
      <xdr:row>13</xdr:row>
      <xdr:rowOff>1796</xdr:rowOff>
    </xdr:to>
    <mc:AlternateContent xmlns:mc="http://schemas.openxmlformats.org/markup-compatibility/2006" xmlns:a14="http://schemas.microsoft.com/office/drawing/2010/main">
      <mc:Choice Requires="a14">
        <xdr:graphicFrame macro="">
          <xdr:nvGraphicFramePr>
            <xdr:cNvPr id="2" name="Age 1">
              <a:extLst>
                <a:ext uri="{FF2B5EF4-FFF2-40B4-BE49-F238E27FC236}">
                  <a16:creationId xmlns:a16="http://schemas.microsoft.com/office/drawing/2014/main" id="{26A947ED-D6AB-69DC-ED2F-1DEB75E8FF7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111151" y="0"/>
              <a:ext cx="1833113" cy="245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0</xdr:row>
      <xdr:rowOff>0</xdr:rowOff>
    </xdr:from>
    <xdr:to>
      <xdr:col>10</xdr:col>
      <xdr:colOff>600075</xdr:colOff>
      <xdr:row>13</xdr:row>
      <xdr:rowOff>0</xdr:rowOff>
    </xdr:to>
    <mc:AlternateContent xmlns:mc="http://schemas.openxmlformats.org/markup-compatibility/2006" xmlns:a14="http://schemas.microsoft.com/office/drawing/2010/main">
      <mc:Choice Requires="a14">
        <xdr:graphicFrame macro="">
          <xdr:nvGraphicFramePr>
            <xdr:cNvPr id="3" name="Calories_Burned">
              <a:extLst>
                <a:ext uri="{FF2B5EF4-FFF2-40B4-BE49-F238E27FC236}">
                  <a16:creationId xmlns:a16="http://schemas.microsoft.com/office/drawing/2014/main" id="{7AD25FB0-DC5A-DB53-FFC0-954A511D6013}"/>
                </a:ext>
              </a:extLst>
            </xdr:cNvPr>
            <xdr:cNvGraphicFramePr/>
          </xdr:nvGraphicFramePr>
          <xdr:xfrm>
            <a:off x="0" y="0"/>
            <a:ext cx="0" cy="0"/>
          </xdr:xfrm>
          <a:graphic>
            <a:graphicData uri="http://schemas.microsoft.com/office/drawing/2010/slicer">
              <sle:slicer xmlns:sle="http://schemas.microsoft.com/office/drawing/2010/slicer" name="Calories_Burned"/>
            </a:graphicData>
          </a:graphic>
        </xdr:graphicFrame>
      </mc:Choice>
      <mc:Fallback xmlns="">
        <xdr:sp macro="" textlink="">
          <xdr:nvSpPr>
            <xdr:cNvPr id="0" name=""/>
            <xdr:cNvSpPr>
              <a:spLocks noTextEdit="1"/>
            </xdr:cNvSpPr>
          </xdr:nvSpPr>
          <xdr:spPr>
            <a:xfrm>
              <a:off x="7258589" y="0"/>
              <a:ext cx="1833113" cy="2453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85724</xdr:colOff>
      <xdr:row>0</xdr:row>
      <xdr:rowOff>19051</xdr:rowOff>
    </xdr:from>
    <xdr:to>
      <xdr:col>4</xdr:col>
      <xdr:colOff>9524</xdr:colOff>
      <xdr:row>13</xdr:row>
      <xdr:rowOff>1</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618BB3C8-EB40-2488-5870-71A628197EB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608177" y="19051"/>
              <a:ext cx="1226748" cy="2434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11906</xdr:rowOff>
    </xdr:from>
    <xdr:to>
      <xdr:col>3</xdr:col>
      <xdr:colOff>1295399</xdr:colOff>
      <xdr:row>36</xdr:row>
      <xdr:rowOff>0</xdr:rowOff>
    </xdr:to>
    <xdr:graphicFrame macro="">
      <xdr:nvGraphicFramePr>
        <xdr:cNvPr id="7" name="Chart 6">
          <a:extLst>
            <a:ext uri="{FF2B5EF4-FFF2-40B4-BE49-F238E27FC236}">
              <a16:creationId xmlns:a16="http://schemas.microsoft.com/office/drawing/2014/main" id="{D65BBD77-25D0-BD53-E411-6FFE39A3F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66675</xdr:colOff>
      <xdr:row>0</xdr:row>
      <xdr:rowOff>47626</xdr:rowOff>
    </xdr:from>
    <xdr:to>
      <xdr:col>4</xdr:col>
      <xdr:colOff>400050</xdr:colOff>
      <xdr:row>13</xdr:row>
      <xdr:rowOff>57150</xdr:rowOff>
    </xdr:to>
    <mc:AlternateContent xmlns:mc="http://schemas.openxmlformats.org/markup-compatibility/2006" xmlns:a14="http://schemas.microsoft.com/office/drawing/2010/main">
      <mc:Choice Requires="a14">
        <xdr:graphicFrame macro="">
          <xdr:nvGraphicFramePr>
            <xdr:cNvPr id="2" name="Weight (kg) 1">
              <a:extLst>
                <a:ext uri="{FF2B5EF4-FFF2-40B4-BE49-F238E27FC236}">
                  <a16:creationId xmlns:a16="http://schemas.microsoft.com/office/drawing/2014/main" id="{146A85A2-1649-37BC-CEF9-6011227F786F}"/>
                </a:ext>
              </a:extLst>
            </xdr:cNvPr>
            <xdr:cNvGraphicFramePr/>
          </xdr:nvGraphicFramePr>
          <xdr:xfrm>
            <a:off x="0" y="0"/>
            <a:ext cx="0" cy="0"/>
          </xdr:xfrm>
          <a:graphic>
            <a:graphicData uri="http://schemas.microsoft.com/office/drawing/2010/slicer">
              <sle:slicer xmlns:sle="http://schemas.microsoft.com/office/drawing/2010/slicer" name="Weight (kg) 1"/>
            </a:graphicData>
          </a:graphic>
        </xdr:graphicFrame>
      </mc:Choice>
      <mc:Fallback xmlns="">
        <xdr:sp macro="" textlink="">
          <xdr:nvSpPr>
            <xdr:cNvPr id="0" name=""/>
            <xdr:cNvSpPr>
              <a:spLocks noTextEdit="1"/>
            </xdr:cNvSpPr>
          </xdr:nvSpPr>
          <xdr:spPr>
            <a:xfrm>
              <a:off x="3114675" y="47626"/>
              <a:ext cx="1838325" cy="2486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0</xdr:row>
      <xdr:rowOff>9525</xdr:rowOff>
    </xdr:from>
    <xdr:to>
      <xdr:col>10</xdr:col>
      <xdr:colOff>9525</xdr:colOff>
      <xdr:row>13</xdr:row>
      <xdr:rowOff>0</xdr:rowOff>
    </xdr:to>
    <mc:AlternateContent xmlns:mc="http://schemas.openxmlformats.org/markup-compatibility/2006" xmlns:a14="http://schemas.microsoft.com/office/drawing/2010/main">
      <mc:Choice Requires="a14">
        <xdr:graphicFrame macro="">
          <xdr:nvGraphicFramePr>
            <xdr:cNvPr id="3" name="Height (m) 1">
              <a:extLst>
                <a:ext uri="{FF2B5EF4-FFF2-40B4-BE49-F238E27FC236}">
                  <a16:creationId xmlns:a16="http://schemas.microsoft.com/office/drawing/2014/main" id="{102139CE-FCAE-7512-917E-F103385B132C}"/>
                </a:ext>
              </a:extLst>
            </xdr:cNvPr>
            <xdr:cNvGraphicFramePr/>
          </xdr:nvGraphicFramePr>
          <xdr:xfrm>
            <a:off x="0" y="0"/>
            <a:ext cx="0" cy="0"/>
          </xdr:xfrm>
          <a:graphic>
            <a:graphicData uri="http://schemas.microsoft.com/office/drawing/2010/slicer">
              <sle:slicer xmlns:sle="http://schemas.microsoft.com/office/drawing/2010/slicer" name="Height (m) 1"/>
            </a:graphicData>
          </a:graphic>
        </xdr:graphicFrame>
      </mc:Choice>
      <mc:Fallback xmlns="">
        <xdr:sp macro="" textlink="">
          <xdr:nvSpPr>
            <xdr:cNvPr id="0" name=""/>
            <xdr:cNvSpPr>
              <a:spLocks noTextEdit="1"/>
            </xdr:cNvSpPr>
          </xdr:nvSpPr>
          <xdr:spPr>
            <a:xfrm>
              <a:off x="5715000" y="95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17</xdr:row>
      <xdr:rowOff>0</xdr:rowOff>
    </xdr:from>
    <xdr:to>
      <xdr:col>9</xdr:col>
      <xdr:colOff>9525</xdr:colOff>
      <xdr:row>31</xdr:row>
      <xdr:rowOff>180975</xdr:rowOff>
    </xdr:to>
    <mc:AlternateContent xmlns:mc="http://schemas.openxmlformats.org/markup-compatibility/2006" xmlns:a14="http://schemas.microsoft.com/office/drawing/2010/main">
      <mc:Choice Requires="a14">
        <xdr:graphicFrame macro="">
          <xdr:nvGraphicFramePr>
            <xdr:cNvPr id="7" name="BMI">
              <a:extLst>
                <a:ext uri="{FF2B5EF4-FFF2-40B4-BE49-F238E27FC236}">
                  <a16:creationId xmlns:a16="http://schemas.microsoft.com/office/drawing/2014/main" id="{11B005FF-9F20-5D0B-4D3C-E1A74BD6FA01}"/>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5105400" y="3238500"/>
              <a:ext cx="1828800" cy="2847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0</xdr:rowOff>
    </xdr:from>
    <xdr:to>
      <xdr:col>5</xdr:col>
      <xdr:colOff>0</xdr:colOff>
      <xdr:row>32</xdr:row>
      <xdr:rowOff>9525</xdr:rowOff>
    </xdr:to>
    <xdr:graphicFrame macro="">
      <xdr:nvGraphicFramePr>
        <xdr:cNvPr id="8" name="Chart 7">
          <a:extLst>
            <a:ext uri="{FF2B5EF4-FFF2-40B4-BE49-F238E27FC236}">
              <a16:creationId xmlns:a16="http://schemas.microsoft.com/office/drawing/2014/main" id="{2874A9A3-2E49-81BA-BE9C-01FBEB8FF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9526</xdr:colOff>
      <xdr:row>9</xdr:row>
      <xdr:rowOff>4762</xdr:rowOff>
    </xdr:from>
    <xdr:to>
      <xdr:col>17</xdr:col>
      <xdr:colOff>1</xdr:colOff>
      <xdr:row>22</xdr:row>
      <xdr:rowOff>171450</xdr:rowOff>
    </xdr:to>
    <xdr:graphicFrame macro="">
      <xdr:nvGraphicFramePr>
        <xdr:cNvPr id="9" name="Chart 8">
          <a:extLst>
            <a:ext uri="{FF2B5EF4-FFF2-40B4-BE49-F238E27FC236}">
              <a16:creationId xmlns:a16="http://schemas.microsoft.com/office/drawing/2014/main" id="{5C3DD259-10C7-4C4B-9915-CA6E46989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xdr:colOff>
      <xdr:row>32</xdr:row>
      <xdr:rowOff>4762</xdr:rowOff>
    </xdr:from>
    <xdr:to>
      <xdr:col>14</xdr:col>
      <xdr:colOff>1190625</xdr:colOff>
      <xdr:row>46</xdr:row>
      <xdr:rowOff>80962</xdr:rowOff>
    </xdr:to>
    <xdr:graphicFrame macro="">
      <xdr:nvGraphicFramePr>
        <xdr:cNvPr id="4" name="Chart 3">
          <a:extLst>
            <a:ext uri="{FF2B5EF4-FFF2-40B4-BE49-F238E27FC236}">
              <a16:creationId xmlns:a16="http://schemas.microsoft.com/office/drawing/2014/main" id="{B48D889E-DFB3-87BD-2478-473B161C0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295275</xdr:colOff>
      <xdr:row>37</xdr:row>
      <xdr:rowOff>38100</xdr:rowOff>
    </xdr:from>
    <xdr:to>
      <xdr:col>7</xdr:col>
      <xdr:colOff>295275</xdr:colOff>
      <xdr:row>50</xdr:row>
      <xdr:rowOff>85725</xdr:rowOff>
    </xdr:to>
    <mc:AlternateContent xmlns:mc="http://schemas.openxmlformats.org/markup-compatibility/2006" xmlns:a14="http://schemas.microsoft.com/office/drawing/2010/main">
      <mc:Choice Requires="a14">
        <xdr:graphicFrame macro="">
          <xdr:nvGraphicFramePr>
            <xdr:cNvPr id="5" name="Gender 3">
              <a:extLst>
                <a:ext uri="{FF2B5EF4-FFF2-40B4-BE49-F238E27FC236}">
                  <a16:creationId xmlns:a16="http://schemas.microsoft.com/office/drawing/2014/main" id="{5209BD76-C01B-6BFA-967F-97D23F908FF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848225" y="708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51</xdr:row>
      <xdr:rowOff>176212</xdr:rowOff>
    </xdr:from>
    <xdr:to>
      <xdr:col>5</xdr:col>
      <xdr:colOff>304800</xdr:colOff>
      <xdr:row>66</xdr:row>
      <xdr:rowOff>61912</xdr:rowOff>
    </xdr:to>
    <xdr:graphicFrame macro="">
      <xdr:nvGraphicFramePr>
        <xdr:cNvPr id="6" name="Chart 5">
          <a:extLst>
            <a:ext uri="{FF2B5EF4-FFF2-40B4-BE49-F238E27FC236}">
              <a16:creationId xmlns:a16="http://schemas.microsoft.com/office/drawing/2014/main" id="{D90B75FA-D6A1-7FAE-33F4-285FD34B7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4762</xdr:rowOff>
    </xdr:from>
    <xdr:to>
      <xdr:col>12</xdr:col>
      <xdr:colOff>647700</xdr:colOff>
      <xdr:row>66</xdr:row>
      <xdr:rowOff>80962</xdr:rowOff>
    </xdr:to>
    <xdr:graphicFrame macro="">
      <xdr:nvGraphicFramePr>
        <xdr:cNvPr id="10" name="Chart 9">
          <a:extLst>
            <a:ext uri="{FF2B5EF4-FFF2-40B4-BE49-F238E27FC236}">
              <a16:creationId xmlns:a16="http://schemas.microsoft.com/office/drawing/2014/main" id="{92ADB46B-7DD3-E8DA-3562-769347236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476250</xdr:colOff>
      <xdr:row>37</xdr:row>
      <xdr:rowOff>133350</xdr:rowOff>
    </xdr:from>
    <xdr:to>
      <xdr:col>10</xdr:col>
      <xdr:colOff>476250</xdr:colOff>
      <xdr:row>50</xdr:row>
      <xdr:rowOff>180975</xdr:rowOff>
    </xdr:to>
    <mc:AlternateContent xmlns:mc="http://schemas.openxmlformats.org/markup-compatibility/2006" xmlns:a14="http://schemas.microsoft.com/office/drawing/2010/main">
      <mc:Choice Requires="a14">
        <xdr:graphicFrame macro="">
          <xdr:nvGraphicFramePr>
            <xdr:cNvPr id="11" name="Workout_Type">
              <a:extLst>
                <a:ext uri="{FF2B5EF4-FFF2-40B4-BE49-F238E27FC236}">
                  <a16:creationId xmlns:a16="http://schemas.microsoft.com/office/drawing/2014/main" id="{455FE589-1B32-7469-7402-0B42C15FD6C6}"/>
                </a:ext>
              </a:extLst>
            </xdr:cNvPr>
            <xdr:cNvGraphicFramePr/>
          </xdr:nvGraphicFramePr>
          <xdr:xfrm>
            <a:off x="0" y="0"/>
            <a:ext cx="0" cy="0"/>
          </xdr:xfrm>
          <a:graphic>
            <a:graphicData uri="http://schemas.microsoft.com/office/drawing/2010/slicer">
              <sle:slicer xmlns:sle="http://schemas.microsoft.com/office/drawing/2010/slicer" name="Workout_Type"/>
            </a:graphicData>
          </a:graphic>
        </xdr:graphicFrame>
      </mc:Choice>
      <mc:Fallback xmlns="">
        <xdr:sp macro="" textlink="">
          <xdr:nvSpPr>
            <xdr:cNvPr id="0" name=""/>
            <xdr:cNvSpPr>
              <a:spLocks noTextEdit="1"/>
            </xdr:cNvSpPr>
          </xdr:nvSpPr>
          <xdr:spPr>
            <a:xfrm>
              <a:off x="6858000" y="7181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52</xdr:row>
      <xdr:rowOff>33337</xdr:rowOff>
    </xdr:from>
    <xdr:to>
      <xdr:col>18</xdr:col>
      <xdr:colOff>371475</xdr:colOff>
      <xdr:row>66</xdr:row>
      <xdr:rowOff>109537</xdr:rowOff>
    </xdr:to>
    <xdr:graphicFrame macro="">
      <xdr:nvGraphicFramePr>
        <xdr:cNvPr id="12" name="Chart 11">
          <a:extLst>
            <a:ext uri="{FF2B5EF4-FFF2-40B4-BE49-F238E27FC236}">
              <a16:creationId xmlns:a16="http://schemas.microsoft.com/office/drawing/2014/main" id="{1CCE43F1-89EF-C883-4F3D-DE4FBE2B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438150</xdr:colOff>
      <xdr:row>0</xdr:row>
      <xdr:rowOff>47625</xdr:rowOff>
    </xdr:from>
    <xdr:to>
      <xdr:col>18</xdr:col>
      <xdr:colOff>381000</xdr:colOff>
      <xdr:row>3</xdr:row>
      <xdr:rowOff>57150</xdr:rowOff>
    </xdr:to>
    <xdr:sp macro="" textlink="">
      <xdr:nvSpPr>
        <xdr:cNvPr id="2" name="TextBox 1">
          <a:extLst>
            <a:ext uri="{FF2B5EF4-FFF2-40B4-BE49-F238E27FC236}">
              <a16:creationId xmlns:a16="http://schemas.microsoft.com/office/drawing/2014/main" id="{A742F312-2A41-F523-7072-2A3F7E9CED08}"/>
            </a:ext>
          </a:extLst>
        </xdr:cNvPr>
        <xdr:cNvSpPr txBox="1"/>
      </xdr:nvSpPr>
      <xdr:spPr>
        <a:xfrm>
          <a:off x="5924550" y="47625"/>
          <a:ext cx="5429250" cy="5524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FITNESS ANALYTICS DASHBOARD</a:t>
          </a:r>
        </a:p>
      </xdr:txBody>
    </xdr:sp>
    <xdr:clientData/>
  </xdr:twoCellAnchor>
  <xdr:twoCellAnchor editAs="oneCell">
    <xdr:from>
      <xdr:col>1</xdr:col>
      <xdr:colOff>171450</xdr:colOff>
      <xdr:row>4</xdr:row>
      <xdr:rowOff>171451</xdr:rowOff>
    </xdr:from>
    <xdr:to>
      <xdr:col>4</xdr:col>
      <xdr:colOff>180975</xdr:colOff>
      <xdr:row>18</xdr:row>
      <xdr:rowOff>16477</xdr:rowOff>
    </xdr:to>
    <mc:AlternateContent xmlns:mc="http://schemas.openxmlformats.org/markup-compatibility/2006" xmlns:a14="http://schemas.microsoft.com/office/drawing/2010/main">
      <mc:Choice Requires="a14">
        <xdr:graphicFrame macro="">
          <xdr:nvGraphicFramePr>
            <xdr:cNvPr id="8" name="Weight (kg) 2">
              <a:extLst>
                <a:ext uri="{FF2B5EF4-FFF2-40B4-BE49-F238E27FC236}">
                  <a16:creationId xmlns:a16="http://schemas.microsoft.com/office/drawing/2014/main" id="{BB7A3AAD-BF8F-4F96-96B0-89F3D264774F}"/>
                </a:ext>
              </a:extLst>
            </xdr:cNvPr>
            <xdr:cNvGraphicFramePr/>
          </xdr:nvGraphicFramePr>
          <xdr:xfrm>
            <a:off x="0" y="0"/>
            <a:ext cx="0" cy="0"/>
          </xdr:xfrm>
          <a:graphic>
            <a:graphicData uri="http://schemas.microsoft.com/office/drawing/2010/slicer">
              <sle:slicer xmlns:sle="http://schemas.microsoft.com/office/drawing/2010/slicer" name="Weight (kg) 2"/>
            </a:graphicData>
          </a:graphic>
        </xdr:graphicFrame>
      </mc:Choice>
      <mc:Fallback xmlns="">
        <xdr:sp macro="" textlink="">
          <xdr:nvSpPr>
            <xdr:cNvPr id="0" name=""/>
            <xdr:cNvSpPr>
              <a:spLocks noTextEdit="1"/>
            </xdr:cNvSpPr>
          </xdr:nvSpPr>
          <xdr:spPr>
            <a:xfrm>
              <a:off x="781050" y="942976"/>
              <a:ext cx="1838325" cy="2512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20</xdr:row>
      <xdr:rowOff>173510</xdr:rowOff>
    </xdr:from>
    <xdr:to>
      <xdr:col>4</xdr:col>
      <xdr:colOff>190500</xdr:colOff>
      <xdr:row>34</xdr:row>
      <xdr:rowOff>49942</xdr:rowOff>
    </xdr:to>
    <mc:AlternateContent xmlns:mc="http://schemas.openxmlformats.org/markup-compatibility/2006" xmlns:a14="http://schemas.microsoft.com/office/drawing/2010/main">
      <mc:Choice Requires="a14">
        <xdr:graphicFrame macro="">
          <xdr:nvGraphicFramePr>
            <xdr:cNvPr id="9" name="BMI 1">
              <a:extLst>
                <a:ext uri="{FF2B5EF4-FFF2-40B4-BE49-F238E27FC236}">
                  <a16:creationId xmlns:a16="http://schemas.microsoft.com/office/drawing/2014/main" id="{B0E944BF-3305-412C-B175-5357E0B3F0B2}"/>
                </a:ext>
              </a:extLst>
            </xdr:cNvPr>
            <xdr:cNvGraphicFramePr/>
          </xdr:nvGraphicFramePr>
          <xdr:xfrm>
            <a:off x="0" y="0"/>
            <a:ext cx="0" cy="0"/>
          </xdr:xfrm>
          <a:graphic>
            <a:graphicData uri="http://schemas.microsoft.com/office/drawing/2010/slicer">
              <sle:slicer xmlns:sle="http://schemas.microsoft.com/office/drawing/2010/slicer" name="BMI 1"/>
            </a:graphicData>
          </a:graphic>
        </xdr:graphicFrame>
      </mc:Choice>
      <mc:Fallback xmlns="">
        <xdr:sp macro="" textlink="">
          <xdr:nvSpPr>
            <xdr:cNvPr id="0" name=""/>
            <xdr:cNvSpPr>
              <a:spLocks noTextEdit="1"/>
            </xdr:cNvSpPr>
          </xdr:nvSpPr>
          <xdr:spPr>
            <a:xfrm>
              <a:off x="800100" y="3993035"/>
              <a:ext cx="1828800" cy="2543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276225</xdr:colOff>
      <xdr:row>21</xdr:row>
      <xdr:rowOff>1</xdr:rowOff>
    </xdr:from>
    <xdr:to>
      <xdr:col>28</xdr:col>
      <xdr:colOff>257175</xdr:colOff>
      <xdr:row>34</xdr:row>
      <xdr:rowOff>10298</xdr:rowOff>
    </xdr:to>
    <mc:AlternateContent xmlns:mc="http://schemas.openxmlformats.org/markup-compatibility/2006" xmlns:a14="http://schemas.microsoft.com/office/drawing/2010/main">
      <mc:Choice Requires="a14">
        <xdr:graphicFrame macro="">
          <xdr:nvGraphicFramePr>
            <xdr:cNvPr id="14" name="Gender 4">
              <a:extLst>
                <a:ext uri="{FF2B5EF4-FFF2-40B4-BE49-F238E27FC236}">
                  <a16:creationId xmlns:a16="http://schemas.microsoft.com/office/drawing/2014/main" id="{F8CA34E8-7A48-4D29-AD7F-DC8965BC1E1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5516225" y="4248151"/>
              <a:ext cx="18097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257175</xdr:colOff>
      <xdr:row>5</xdr:row>
      <xdr:rowOff>19051</xdr:rowOff>
    </xdr:from>
    <xdr:to>
      <xdr:col>28</xdr:col>
      <xdr:colOff>257175</xdr:colOff>
      <xdr:row>18</xdr:row>
      <xdr:rowOff>41189</xdr:rowOff>
    </xdr:to>
    <mc:AlternateContent xmlns:mc="http://schemas.openxmlformats.org/markup-compatibility/2006" xmlns:a14="http://schemas.microsoft.com/office/drawing/2010/main">
      <mc:Choice Requires="a14">
        <xdr:graphicFrame macro="">
          <xdr:nvGraphicFramePr>
            <xdr:cNvPr id="18" name="Workout_Type 1">
              <a:extLst>
                <a:ext uri="{FF2B5EF4-FFF2-40B4-BE49-F238E27FC236}">
                  <a16:creationId xmlns:a16="http://schemas.microsoft.com/office/drawing/2014/main" id="{BC1E85AD-51D2-4AA8-9149-E1F3309CCBC0}"/>
                </a:ext>
              </a:extLst>
            </xdr:cNvPr>
            <xdr:cNvGraphicFramePr/>
          </xdr:nvGraphicFramePr>
          <xdr:xfrm>
            <a:off x="0" y="0"/>
            <a:ext cx="0" cy="0"/>
          </xdr:xfrm>
          <a:graphic>
            <a:graphicData uri="http://schemas.microsoft.com/office/drawing/2010/slicer">
              <sle:slicer xmlns:sle="http://schemas.microsoft.com/office/drawing/2010/slicer" name="Workout_Type 1"/>
            </a:graphicData>
          </a:graphic>
        </xdr:graphicFrame>
      </mc:Choice>
      <mc:Fallback xmlns="">
        <xdr:sp macro="" textlink="">
          <xdr:nvSpPr>
            <xdr:cNvPr id="0" name=""/>
            <xdr:cNvSpPr>
              <a:spLocks noTextEdit="1"/>
            </xdr:cNvSpPr>
          </xdr:nvSpPr>
          <xdr:spPr>
            <a:xfrm>
              <a:off x="15497175" y="981076"/>
              <a:ext cx="1828800" cy="2276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57149</xdr:colOff>
      <xdr:row>4</xdr:row>
      <xdr:rowOff>95250</xdr:rowOff>
    </xdr:from>
    <xdr:to>
      <xdr:col>11</xdr:col>
      <xdr:colOff>104774</xdr:colOff>
      <xdr:row>18</xdr:row>
      <xdr:rowOff>9525</xdr:rowOff>
    </xdr:to>
    <xdr:sp macro="" textlink="">
      <xdr:nvSpPr>
        <xdr:cNvPr id="7" name="Rectangle 6">
          <a:extLst>
            <a:ext uri="{FF2B5EF4-FFF2-40B4-BE49-F238E27FC236}">
              <a16:creationId xmlns:a16="http://schemas.microsoft.com/office/drawing/2014/main" id="{0C4B869A-EA39-0D7A-A90D-38D79A2380F3}"/>
            </a:ext>
          </a:extLst>
        </xdr:cNvPr>
        <xdr:cNvSpPr/>
      </xdr:nvSpPr>
      <xdr:spPr>
        <a:xfrm>
          <a:off x="3105149" y="838200"/>
          <a:ext cx="3705225" cy="2447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133349</xdr:colOff>
      <xdr:row>4</xdr:row>
      <xdr:rowOff>171450</xdr:rowOff>
    </xdr:from>
    <xdr:to>
      <xdr:col>11</xdr:col>
      <xdr:colOff>28574</xdr:colOff>
      <xdr:row>17</xdr:row>
      <xdr:rowOff>123825</xdr:rowOff>
    </xdr:to>
    <xdr:graphicFrame macro="">
      <xdr:nvGraphicFramePr>
        <xdr:cNvPr id="13" name="Chart 12">
          <a:extLst>
            <a:ext uri="{FF2B5EF4-FFF2-40B4-BE49-F238E27FC236}">
              <a16:creationId xmlns:a16="http://schemas.microsoft.com/office/drawing/2014/main" id="{86345A0C-90D1-4EFA-BF7E-22012E1BC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542926</xdr:colOff>
      <xdr:row>4</xdr:row>
      <xdr:rowOff>113270</xdr:rowOff>
    </xdr:from>
    <xdr:to>
      <xdr:col>18</xdr:col>
      <xdr:colOff>19050</xdr:colOff>
      <xdr:row>18</xdr:row>
      <xdr:rowOff>38101</xdr:rowOff>
    </xdr:to>
    <xdr:sp macro="" textlink="">
      <xdr:nvSpPr>
        <xdr:cNvPr id="19" name="Rectangle 18">
          <a:extLst>
            <a:ext uri="{FF2B5EF4-FFF2-40B4-BE49-F238E27FC236}">
              <a16:creationId xmlns:a16="http://schemas.microsoft.com/office/drawing/2014/main" id="{76DBCF8F-51B8-87ED-0BB2-7168370AC12C}"/>
            </a:ext>
          </a:extLst>
        </xdr:cNvPr>
        <xdr:cNvSpPr/>
      </xdr:nvSpPr>
      <xdr:spPr>
        <a:xfrm>
          <a:off x="7225872" y="864973"/>
          <a:ext cx="3728908" cy="2519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19049</xdr:colOff>
      <xdr:row>5</xdr:row>
      <xdr:rowOff>0</xdr:rowOff>
    </xdr:from>
    <xdr:to>
      <xdr:col>17</xdr:col>
      <xdr:colOff>556054</xdr:colOff>
      <xdr:row>17</xdr:row>
      <xdr:rowOff>142875</xdr:rowOff>
    </xdr:to>
    <xdr:graphicFrame macro="">
      <xdr:nvGraphicFramePr>
        <xdr:cNvPr id="20" name="Chart 19">
          <a:extLst>
            <a:ext uri="{FF2B5EF4-FFF2-40B4-BE49-F238E27FC236}">
              <a16:creationId xmlns:a16="http://schemas.microsoft.com/office/drawing/2014/main" id="{13093E93-DC02-473D-A9EA-627154602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545757</xdr:colOff>
      <xdr:row>4</xdr:row>
      <xdr:rowOff>161925</xdr:rowOff>
    </xdr:from>
    <xdr:to>
      <xdr:col>24</xdr:col>
      <xdr:colOff>542926</xdr:colOff>
      <xdr:row>18</xdr:row>
      <xdr:rowOff>47625</xdr:rowOff>
    </xdr:to>
    <xdr:sp macro="" textlink="">
      <xdr:nvSpPr>
        <xdr:cNvPr id="21" name="Rectangle 20">
          <a:extLst>
            <a:ext uri="{FF2B5EF4-FFF2-40B4-BE49-F238E27FC236}">
              <a16:creationId xmlns:a16="http://schemas.microsoft.com/office/drawing/2014/main" id="{1D6529B9-04B3-0C6C-98D6-EAD0CF2939B3}"/>
            </a:ext>
          </a:extLst>
        </xdr:cNvPr>
        <xdr:cNvSpPr/>
      </xdr:nvSpPr>
      <xdr:spPr>
        <a:xfrm>
          <a:off x="11481487" y="913628"/>
          <a:ext cx="3642412" cy="24806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9525</xdr:colOff>
      <xdr:row>5</xdr:row>
      <xdr:rowOff>57151</xdr:rowOff>
    </xdr:from>
    <xdr:to>
      <xdr:col>24</xdr:col>
      <xdr:colOff>457200</xdr:colOff>
      <xdr:row>17</xdr:row>
      <xdr:rowOff>152400</xdr:rowOff>
    </xdr:to>
    <xdr:graphicFrame macro="">
      <xdr:nvGraphicFramePr>
        <xdr:cNvPr id="22" name="Chart 21">
          <a:extLst>
            <a:ext uri="{FF2B5EF4-FFF2-40B4-BE49-F238E27FC236}">
              <a16:creationId xmlns:a16="http://schemas.microsoft.com/office/drawing/2014/main" id="{68FFE451-9726-4B21-801F-CA53886C8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20</xdr:row>
      <xdr:rowOff>76200</xdr:rowOff>
    </xdr:from>
    <xdr:to>
      <xdr:col>11</xdr:col>
      <xdr:colOff>123825</xdr:colOff>
      <xdr:row>34</xdr:row>
      <xdr:rowOff>66675</xdr:rowOff>
    </xdr:to>
    <xdr:sp macro="" textlink="">
      <xdr:nvSpPr>
        <xdr:cNvPr id="23" name="Rectangle 22">
          <a:extLst>
            <a:ext uri="{FF2B5EF4-FFF2-40B4-BE49-F238E27FC236}">
              <a16:creationId xmlns:a16="http://schemas.microsoft.com/office/drawing/2014/main" id="{F37B1512-91D0-FF22-4E38-79F756DC6F1F}"/>
            </a:ext>
          </a:extLst>
        </xdr:cNvPr>
        <xdr:cNvSpPr/>
      </xdr:nvSpPr>
      <xdr:spPr>
        <a:xfrm>
          <a:off x="3105150" y="3714750"/>
          <a:ext cx="3724275" cy="2524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133350</xdr:colOff>
      <xdr:row>20</xdr:row>
      <xdr:rowOff>152400</xdr:rowOff>
    </xdr:from>
    <xdr:to>
      <xdr:col>11</xdr:col>
      <xdr:colOff>47625</xdr:colOff>
      <xdr:row>33</xdr:row>
      <xdr:rowOff>171450</xdr:rowOff>
    </xdr:to>
    <xdr:graphicFrame macro="">
      <xdr:nvGraphicFramePr>
        <xdr:cNvPr id="24" name="Chart 23">
          <a:extLst>
            <a:ext uri="{FF2B5EF4-FFF2-40B4-BE49-F238E27FC236}">
              <a16:creationId xmlns:a16="http://schemas.microsoft.com/office/drawing/2014/main" id="{4E2F22B4-F2FA-4C07-94DA-05242D836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552450</xdr:colOff>
      <xdr:row>20</xdr:row>
      <xdr:rowOff>123825</xdr:rowOff>
    </xdr:from>
    <xdr:to>
      <xdr:col>18</xdr:col>
      <xdr:colOff>57150</xdr:colOff>
      <xdr:row>34</xdr:row>
      <xdr:rowOff>47625</xdr:rowOff>
    </xdr:to>
    <xdr:sp macro="" textlink="">
      <xdr:nvSpPr>
        <xdr:cNvPr id="25" name="Rectangle 24">
          <a:extLst>
            <a:ext uri="{FF2B5EF4-FFF2-40B4-BE49-F238E27FC236}">
              <a16:creationId xmlns:a16="http://schemas.microsoft.com/office/drawing/2014/main" id="{6F7A7652-931D-E7F1-B82F-F9A77CC33CE4}"/>
            </a:ext>
          </a:extLst>
        </xdr:cNvPr>
        <xdr:cNvSpPr/>
      </xdr:nvSpPr>
      <xdr:spPr>
        <a:xfrm>
          <a:off x="7258050" y="3762375"/>
          <a:ext cx="3771900" cy="2457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30892</xdr:colOff>
      <xdr:row>21</xdr:row>
      <xdr:rowOff>30892</xdr:rowOff>
    </xdr:from>
    <xdr:to>
      <xdr:col>17</xdr:col>
      <xdr:colOff>597243</xdr:colOff>
      <xdr:row>33</xdr:row>
      <xdr:rowOff>144162</xdr:rowOff>
    </xdr:to>
    <xdr:graphicFrame macro="">
      <xdr:nvGraphicFramePr>
        <xdr:cNvPr id="26" name="Chart 25">
          <a:extLst>
            <a:ext uri="{FF2B5EF4-FFF2-40B4-BE49-F238E27FC236}">
              <a16:creationId xmlns:a16="http://schemas.microsoft.com/office/drawing/2014/main" id="{E88A2111-BCDC-4D35-AC02-84D9D7F8B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545756</xdr:colOff>
      <xdr:row>20</xdr:row>
      <xdr:rowOff>133350</xdr:rowOff>
    </xdr:from>
    <xdr:to>
      <xdr:col>24</xdr:col>
      <xdr:colOff>542925</xdr:colOff>
      <xdr:row>34</xdr:row>
      <xdr:rowOff>19050</xdr:rowOff>
    </xdr:to>
    <xdr:sp macro="" textlink="">
      <xdr:nvSpPr>
        <xdr:cNvPr id="27" name="Rectangle 26">
          <a:extLst>
            <a:ext uri="{FF2B5EF4-FFF2-40B4-BE49-F238E27FC236}">
              <a16:creationId xmlns:a16="http://schemas.microsoft.com/office/drawing/2014/main" id="{BC5B47A7-8847-3EA8-8ED0-A6883BC24843}"/>
            </a:ext>
          </a:extLst>
        </xdr:cNvPr>
        <xdr:cNvSpPr/>
      </xdr:nvSpPr>
      <xdr:spPr>
        <a:xfrm>
          <a:off x="11481486" y="3850674"/>
          <a:ext cx="3642412" cy="24806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20594</xdr:colOff>
      <xdr:row>21</xdr:row>
      <xdr:rowOff>30892</xdr:rowOff>
    </xdr:from>
    <xdr:to>
      <xdr:col>24</xdr:col>
      <xdr:colOff>473675</xdr:colOff>
      <xdr:row>33</xdr:row>
      <xdr:rowOff>123567</xdr:rowOff>
    </xdr:to>
    <xdr:graphicFrame macro="">
      <xdr:nvGraphicFramePr>
        <xdr:cNvPr id="28" name="Chart 27">
          <a:extLst>
            <a:ext uri="{FF2B5EF4-FFF2-40B4-BE49-F238E27FC236}">
              <a16:creationId xmlns:a16="http://schemas.microsoft.com/office/drawing/2014/main" id="{39BD4A64-13E7-4299-8BAE-C567616C5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2117592591" createdVersion="8" refreshedVersion="8" minRefreshableVersion="3" recordCount="120" xr:uid="{9661E659-52BA-430C-81A3-2E87EFE987FB}">
  <cacheSource type="worksheet">
    <worksheetSource ref="A1:O121" sheet="Sheet1"/>
  </cacheSource>
  <cacheFields count="15">
    <cacheField name="Age" numFmtId="0">
      <sharedItems containsString="0" containsBlank="1" containsNumber="1" containsInteger="1" minValue="18" maxValue="59" count="41">
        <n v="34"/>
        <n v="26"/>
        <n v="22"/>
        <n v="54"/>
        <n v="38"/>
        <n v="44"/>
        <n v="50"/>
        <n v="18"/>
        <n v="39"/>
        <n v="46"/>
        <n v="19"/>
        <n v="56"/>
        <n v="30"/>
        <n v="23"/>
        <m/>
        <n v="36"/>
        <n v="25"/>
        <n v="59"/>
        <n v="32"/>
        <n v="28"/>
        <n v="27"/>
        <n v="20"/>
        <n v="51"/>
        <n v="52"/>
        <n v="35"/>
        <n v="21"/>
        <n v="48"/>
        <n v="37"/>
        <n v="49"/>
        <n v="42"/>
        <n v="24"/>
        <n v="33"/>
        <n v="47"/>
        <n v="45"/>
        <n v="55"/>
        <n v="41"/>
        <n v="29"/>
        <n v="43"/>
        <n v="57"/>
        <n v="31"/>
        <n v="53"/>
      </sharedItems>
    </cacheField>
    <cacheField name="Weight (kg)" numFmtId="0">
      <sharedItems containsString="0" containsBlank="1" containsNumber="1" minValue="40" maxValue="129.9"/>
    </cacheField>
    <cacheField name="Height (m)" numFmtId="0">
      <sharedItems containsSemiMixedTypes="0" containsString="0" containsNumber="1" minValue="1.5" maxValue="2"/>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acheField>
    <cacheField name="Water_Intake (liters)" numFmtId="0">
      <sharedItems containsString="0" containsBlank="1" containsNumber="1" minValue="1.5" maxValue="3.7" count="24">
        <n v="2.4"/>
        <n v="2.8"/>
        <n v="1.9"/>
        <n v="3.2"/>
        <n v="2.5"/>
        <n v="3.7"/>
        <n v="1.8"/>
        <n v="2.2000000000000002"/>
        <n v="2.2999999999999998"/>
        <n v="3"/>
        <n v="2.7"/>
        <n v="3.5"/>
        <n v="2.1"/>
        <n v="1.5"/>
        <n v="1.6"/>
        <n v="1.7"/>
        <n v="2.6"/>
        <n v="3.3"/>
        <n v="3.6"/>
        <n v="3.1"/>
        <n v="2"/>
        <n v="3.4"/>
        <n v="2.9"/>
        <m/>
      </sharedItems>
    </cacheField>
    <cacheField name="Workout_Frequency (days/week)" numFmtId="0">
      <sharedItems containsString="0" containsBlank="1" containsNumber="1" containsInteger="1" minValue="2" maxValue="5" count="5">
        <n v="5"/>
        <n v="3"/>
        <n v="4"/>
        <n v="2"/>
        <m/>
      </sharedItems>
    </cacheField>
    <cacheField name="Experience_Level" numFmtId="0">
      <sharedItems containsString="0" containsBlank="1" containsNumber="1" containsInteger="1" minValue="1" maxValue="3"/>
    </cacheField>
    <cacheField name="BMI" numFmtId="0">
      <sharedItems containsString="0" containsBlank="1" containsNumber="1" minValue="12.32" maxValue="49.84"/>
    </cacheField>
  </cacheFields>
  <extLst>
    <ext xmlns:x14="http://schemas.microsoft.com/office/spreadsheetml/2009/9/main" uri="{725AE2AE-9491-48be-B2B4-4EB974FC3084}">
      <x14:pivotCacheDefinition pivotCacheId="2121703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5066550923" createdVersion="8" refreshedVersion="8" minRefreshableVersion="3" recordCount="120" xr:uid="{69791BE2-833A-4A09-B505-8726B8F64CEF}">
  <cacheSource type="worksheet">
    <worksheetSource ref="A1:O121" sheet="Sheet1"/>
  </cacheSource>
  <cacheFields count="15">
    <cacheField name="Age" numFmtId="0">
      <sharedItems containsString="0" containsBlank="1" containsNumber="1" containsInteger="1" minValue="18" maxValue="59" count="41">
        <n v="34"/>
        <n v="26"/>
        <n v="22"/>
        <n v="54"/>
        <n v="38"/>
        <n v="44"/>
        <n v="50"/>
        <n v="18"/>
        <n v="39"/>
        <n v="46"/>
        <n v="19"/>
        <n v="56"/>
        <n v="30"/>
        <n v="23"/>
        <m/>
        <n v="36"/>
        <n v="25"/>
        <n v="59"/>
        <n v="32"/>
        <n v="28"/>
        <n v="27"/>
        <n v="20"/>
        <n v="51"/>
        <n v="52"/>
        <n v="35"/>
        <n v="21"/>
        <n v="48"/>
        <n v="37"/>
        <n v="49"/>
        <n v="42"/>
        <n v="24"/>
        <n v="33"/>
        <n v="47"/>
        <n v="45"/>
        <n v="55"/>
        <n v="41"/>
        <n v="29"/>
        <n v="43"/>
        <n v="57"/>
        <n v="31"/>
        <n v="53"/>
      </sharedItems>
    </cacheField>
    <cacheField name="Weight (kg)" numFmtId="0">
      <sharedItems containsString="0" containsBlank="1" containsNumber="1" minValue="40" maxValue="129.9" count="98">
        <n v="86.7"/>
        <n v="84.7"/>
        <n v="64.8"/>
        <n v="75.3"/>
        <n v="52.8"/>
        <n v="53"/>
        <n v="46.5"/>
        <n v="88.5"/>
        <n v="82.9"/>
        <n v="65.900000000000006"/>
        <n v="47"/>
        <n v="40"/>
        <n v="87.7"/>
        <n v="107.4"/>
        <n v="71.7"/>
        <n v="90.6"/>
        <n v="56.2"/>
        <n v="71.3"/>
        <n v="47.7"/>
        <n v="63"/>
        <n v="129.9"/>
        <n v="102.4"/>
        <n v="64.2"/>
        <n v="129.4"/>
        <n v="57.2"/>
        <n v="71.8"/>
        <n v="112.4"/>
        <n v="64.3"/>
        <n v="72.400000000000006"/>
        <n v="62.4"/>
        <n v="78.599999999999994"/>
        <n v="45"/>
        <n v="103.4"/>
        <n v="79.2"/>
        <n v="75.7"/>
        <n v="76.8"/>
        <n v="112.6"/>
        <n v="73.7"/>
        <n v="84"/>
        <n v="68"/>
        <n v="107.6"/>
        <n v="54.3"/>
        <n v="42.8"/>
        <n v="55.4"/>
        <n v="95.5"/>
        <n v="58.7"/>
        <n v="49.7"/>
        <n v="86.5"/>
        <n v="63.6"/>
        <n v="56.6"/>
        <n v="67.7"/>
        <n v="68.3"/>
        <n v="99.1"/>
        <n v="72.900000000000006"/>
        <n v="58.3"/>
        <n v="45.8"/>
        <n v="52.3"/>
        <n v="76.3"/>
        <n v="77.5"/>
        <m/>
        <n v="96.3"/>
        <n v="49.6"/>
        <n v="86.4"/>
        <n v="68.400000000000006"/>
        <n v="56.9"/>
        <n v="51.1"/>
        <n v="47.6"/>
        <n v="88.8"/>
        <n v="67.5"/>
        <n v="96.7"/>
        <n v="55.7"/>
        <n v="112"/>
        <n v="75.2"/>
        <n v="72"/>
        <n v="59.1"/>
        <n v="41.3"/>
        <n v="63.7"/>
        <n v="100"/>
        <n v="47.1"/>
        <n v="72.099999999999994"/>
        <n v="57.5"/>
        <n v="63.9"/>
        <n v="68.900000000000006"/>
        <n v="95.3"/>
        <n v="84.4"/>
        <n v="60.5"/>
        <n v="49.8"/>
        <n v="47.2"/>
        <n v="56.3"/>
        <n v="46.1"/>
        <n v="69.8"/>
        <n v="60.6"/>
        <n v="53.3"/>
        <n v="95.7"/>
        <n v="57.4"/>
        <n v="87.3"/>
        <n v="73.8"/>
        <n v="66.3"/>
      </sharedItems>
    </cacheField>
    <cacheField name="Height (m)" numFmtId="0">
      <sharedItems containsSemiMixedTypes="0" containsString="0" containsNumber="1" minValue="1.5" maxValue="2" count="45">
        <n v="1.86"/>
        <n v="1.83"/>
        <n v="1.85"/>
        <n v="1.82"/>
        <n v="1.74"/>
        <n v="1.58"/>
        <n v="1.81"/>
        <n v="1.63"/>
        <n v="1.54"/>
        <n v="1.78"/>
        <n v="1.88"/>
        <n v="1.98"/>
        <n v="1.73"/>
        <n v="1.91"/>
        <n v="1.6"/>
        <n v="1.76"/>
        <n v="1.77"/>
        <n v="1.56"/>
        <n v="1.51"/>
        <n v="1.71"/>
        <n v="1.5"/>
        <n v="1.72"/>
        <n v="1.65"/>
        <n v="1.53"/>
        <n v="1.84"/>
        <n v="1.61"/>
        <n v="1.75"/>
        <n v="1.69"/>
        <n v="1.7"/>
        <n v="1.89"/>
        <n v="1.68"/>
        <n v="1.95"/>
        <n v="1.64"/>
        <n v="1.8"/>
        <n v="1.52"/>
        <n v="1.94"/>
        <n v="1.99"/>
        <n v="1.66"/>
        <n v="1.87"/>
        <n v="1.62"/>
        <n v="1.93"/>
        <n v="1.67"/>
        <n v="2"/>
        <n v="1.59"/>
        <n v="1.9"/>
      </sharedItems>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ount="5">
        <n v="5"/>
        <n v="3"/>
        <n v="4"/>
        <n v="2"/>
        <m/>
      </sharedItems>
    </cacheField>
    <cacheField name="Experience_Level" numFmtId="0">
      <sharedItems containsString="0" containsBlank="1" containsNumber="1" containsInteger="1" minValue="1" maxValue="3"/>
    </cacheField>
    <cacheField name="BMI" numFmtId="0">
      <sharedItems containsString="0" containsBlank="1" containsNumber="1" minValue="12.32" maxValue="49.84" count="104">
        <n v="14.31"/>
        <n v="33.49"/>
        <n v="12.73"/>
        <n v="20.37"/>
        <n v="20.83"/>
        <n v="13.02"/>
        <n v="18.12"/>
        <n v="19.16"/>
        <n v="49.84"/>
        <n v="12.32"/>
        <n v="28.39"/>
        <n v="15.99"/>
        <n v="14.48"/>
        <n v="19.09"/>
        <n v="13.91"/>
        <n v="22.61"/>
        <n v="23.64"/>
        <n v="22.69"/>
        <n v="21.04"/>
        <n v="18.23"/>
        <n v="25.59"/>
        <n v="18.07"/>
        <n v="15.23"/>
        <n v="16.87"/>
        <n v="24.43"/>
        <n v="17.79"/>
        <n v="20.59"/>
        <n v="17.68"/>
        <n v="18.61"/>
        <n v="17.920000000000002"/>
        <n v="27.74"/>
        <n v="19.18"/>
        <n v="18.95"/>
        <n v="23.19"/>
        <n v="16.66"/>
        <n v="21.08"/>
        <n v="17.989999999999998"/>
        <n v="21.67"/>
        <n v="23.77"/>
        <n v="26.4"/>
        <n v="18.54"/>
        <n v="17.71"/>
        <n v="15.52"/>
        <n v="18.989999999999998"/>
        <n v="12.9"/>
        <n v="15.73"/>
        <n v="19.62"/>
        <n v="34.369999999999997"/>
        <n v="39.74"/>
        <n v="16.07"/>
        <n v="19.63"/>
        <n v="28.93"/>
        <n v="16.260000000000002"/>
        <n v="16.91"/>
        <n v="19.829999999999998"/>
        <n v="20.47"/>
        <n v="18.78"/>
        <n v="26.25"/>
        <n v="23.23"/>
        <n v="26.08"/>
        <n v="24.32"/>
        <n v="20.97"/>
        <n v="16.059999999999999"/>
        <n v="22.87"/>
        <n v="18.57"/>
        <n v="16.41"/>
        <n v="13.71"/>
        <n v="30.34"/>
        <n v="14.08"/>
        <n v="13.16"/>
        <n v="21.1"/>
        <n v="18.64"/>
        <n v="17.55"/>
        <n v="13.93"/>
        <n v="12.46"/>
        <n v="15.36"/>
        <n v="22.98"/>
        <n v="15.76"/>
        <m/>
        <n v="29.91"/>
        <n v="16.920000000000002"/>
        <n v="20.04"/>
        <n v="24.51"/>
        <n v="17.829999999999998"/>
        <n v="20.71"/>
        <n v="20.059999999999999"/>
        <n v="25.83"/>
        <n v="34.01"/>
        <n v="21.23"/>
        <n v="25.57"/>
        <n v="31.5"/>
        <n v="18.7"/>
        <n v="17.11"/>
        <n v="25.16"/>
        <n v="20.62"/>
        <n v="34.21"/>
        <n v="19.07"/>
        <n v="23.73"/>
        <n v="13.13"/>
        <n v="15.47"/>
        <n v="20.100000000000001"/>
        <n v="19.66"/>
        <n v="14.27"/>
        <n v="20.67"/>
      </sharedItems>
    </cacheField>
  </cacheFields>
  <extLst>
    <ext xmlns:x14="http://schemas.microsoft.com/office/spreadsheetml/2009/9/main" uri="{725AE2AE-9491-48be-B2B4-4EB974FC3084}">
      <x14:pivotCacheDefinition pivotCacheId="9245897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0501851853" createdVersion="8" refreshedVersion="8" minRefreshableVersion="3" recordCount="120" xr:uid="{FD1ECC36-5573-4262-8A37-D6F73463CBC5}">
  <cacheSource type="worksheet">
    <worksheetSource ref="A1:O121" sheet="Sheet1"/>
  </cacheSource>
  <cacheFields count="15">
    <cacheField name="Age" numFmtId="0">
      <sharedItems containsString="0" containsBlank="1" containsNumber="1" containsInteger="1" minValue="18" maxValue="59"/>
    </cacheField>
    <cacheField name="Weight (kg)" numFmtId="0">
      <sharedItems containsString="0" containsBlank="1" containsNumber="1" minValue="40" maxValue="129.9" count="98">
        <n v="86.7"/>
        <n v="84.7"/>
        <n v="64.8"/>
        <n v="75.3"/>
        <n v="52.8"/>
        <n v="53"/>
        <n v="46.5"/>
        <n v="88.5"/>
        <n v="82.9"/>
        <n v="65.900000000000006"/>
        <n v="47"/>
        <n v="40"/>
        <n v="87.7"/>
        <n v="107.4"/>
        <n v="71.7"/>
        <n v="90.6"/>
        <n v="56.2"/>
        <n v="71.3"/>
        <n v="47.7"/>
        <n v="63"/>
        <n v="129.9"/>
        <n v="102.4"/>
        <n v="64.2"/>
        <n v="129.4"/>
        <n v="57.2"/>
        <n v="71.8"/>
        <n v="112.4"/>
        <n v="64.3"/>
        <n v="72.400000000000006"/>
        <n v="62.4"/>
        <n v="78.599999999999994"/>
        <n v="45"/>
        <n v="103.4"/>
        <n v="79.2"/>
        <n v="75.7"/>
        <n v="76.8"/>
        <n v="112.6"/>
        <n v="73.7"/>
        <n v="84"/>
        <n v="68"/>
        <n v="107.6"/>
        <n v="54.3"/>
        <n v="42.8"/>
        <n v="55.4"/>
        <n v="95.5"/>
        <n v="58.7"/>
        <n v="49.7"/>
        <n v="86.5"/>
        <n v="63.6"/>
        <n v="56.6"/>
        <n v="67.7"/>
        <n v="68.3"/>
        <n v="99.1"/>
        <n v="72.900000000000006"/>
        <n v="58.3"/>
        <n v="45.8"/>
        <n v="52.3"/>
        <n v="76.3"/>
        <n v="77.5"/>
        <m/>
        <n v="96.3"/>
        <n v="49.6"/>
        <n v="86.4"/>
        <n v="68.400000000000006"/>
        <n v="56.9"/>
        <n v="51.1"/>
        <n v="47.6"/>
        <n v="88.8"/>
        <n v="67.5"/>
        <n v="96.7"/>
        <n v="55.7"/>
        <n v="112"/>
        <n v="75.2"/>
        <n v="72"/>
        <n v="59.1"/>
        <n v="41.3"/>
        <n v="63.7"/>
        <n v="100"/>
        <n v="47.1"/>
        <n v="72.099999999999994"/>
        <n v="57.5"/>
        <n v="63.9"/>
        <n v="68.900000000000006"/>
        <n v="95.3"/>
        <n v="84.4"/>
        <n v="60.5"/>
        <n v="49.8"/>
        <n v="47.2"/>
        <n v="56.3"/>
        <n v="46.1"/>
        <n v="69.8"/>
        <n v="60.6"/>
        <n v="53.3"/>
        <n v="95.7"/>
        <n v="57.4"/>
        <n v="87.3"/>
        <n v="73.8"/>
        <n v="66.3"/>
      </sharedItems>
    </cacheField>
    <cacheField name="Height (m)" numFmtId="0">
      <sharedItems containsSemiMixedTypes="0" containsString="0" containsNumber="1" minValue="1.5" maxValue="2" count="45">
        <n v="1.86"/>
        <n v="1.83"/>
        <n v="1.85"/>
        <n v="1.82"/>
        <n v="1.74"/>
        <n v="1.58"/>
        <n v="1.81"/>
        <n v="1.63"/>
        <n v="1.54"/>
        <n v="1.78"/>
        <n v="1.88"/>
        <n v="1.98"/>
        <n v="1.73"/>
        <n v="1.91"/>
        <n v="1.6"/>
        <n v="1.76"/>
        <n v="1.77"/>
        <n v="1.56"/>
        <n v="1.51"/>
        <n v="1.71"/>
        <n v="1.5"/>
        <n v="1.72"/>
        <n v="1.65"/>
        <n v="1.53"/>
        <n v="1.84"/>
        <n v="1.61"/>
        <n v="1.75"/>
        <n v="1.69"/>
        <n v="1.7"/>
        <n v="1.89"/>
        <n v="1.68"/>
        <n v="1.95"/>
        <n v="1.64"/>
        <n v="1.8"/>
        <n v="1.52"/>
        <n v="1.94"/>
        <n v="1.99"/>
        <n v="1.66"/>
        <n v="1.87"/>
        <n v="1.62"/>
        <n v="1.93"/>
        <n v="1.67"/>
        <n v="2"/>
        <n v="1.59"/>
        <n v="1.9"/>
      </sharedItems>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ount="93">
        <n v="12.8"/>
        <n v="27.9"/>
        <n v="28.7"/>
        <n v="31.8"/>
        <n v="26.4"/>
        <n v="23.4"/>
        <n v="11.9"/>
        <n v="11.6"/>
        <n v="27.8"/>
        <n v="30.5"/>
        <n v="31.7"/>
        <n v="25.4"/>
        <n v="14.1"/>
        <n v="26"/>
        <n v="32.5"/>
        <n v="16"/>
        <n v="23.9"/>
        <n v="21.9"/>
        <n v="26.5"/>
        <n v="23.8"/>
        <n v="26.6"/>
        <n v="17.5"/>
        <n v="31.9"/>
        <n v="22"/>
        <n v="26.9"/>
        <n v="28.9"/>
        <n v="33.5"/>
        <n v="20"/>
        <n v="16.899999999999999"/>
        <n v="32.200000000000003"/>
        <n v="26.8"/>
        <n v="23"/>
        <n v="23.2"/>
        <n v="25"/>
        <n v="21.2"/>
        <n v="25.1"/>
        <n v="22.6"/>
        <n v="27.4"/>
        <n v="28.3"/>
        <n v="17"/>
        <n v="10"/>
        <n v="22.5"/>
        <n v="34.799999999999997"/>
        <n v="26.1"/>
        <n v="15.2"/>
        <n v="27.3"/>
        <n v="10.7"/>
        <n v="28.5"/>
        <n v="23.6"/>
        <n v="27.5"/>
        <n v="18"/>
        <n v="14.2"/>
        <n v="31.4"/>
        <n v="27.1"/>
        <n v="28.1"/>
        <n v="29.5"/>
        <n v="25.6"/>
        <n v="24"/>
        <n v="15"/>
        <n v="21.7"/>
        <n v="13.3"/>
        <n v="31.1"/>
        <n v="32.1"/>
        <n v="22.2"/>
        <n v="35"/>
        <n v="29.2"/>
        <n v="20.7"/>
        <n v="16.399999999999999"/>
        <n v="18.100000000000001"/>
        <n v="26.2"/>
        <n v="32.9"/>
        <n v="18.899999999999999"/>
        <n v="31.2"/>
        <n v="30.9"/>
        <n v="23.7"/>
        <n v="28.8"/>
        <n v="24.3"/>
        <n v="20.8"/>
        <n v="19.3"/>
        <n v="34.4"/>
        <n v="24.7"/>
        <n v="24.8"/>
        <n v="14.7"/>
        <n v="20.399999999999999"/>
        <n v="29.1"/>
        <n v="17.7"/>
        <n v="19.600000000000001"/>
        <n v="25.7"/>
        <n v="12.9"/>
        <n v="30.2"/>
        <n v="22.8"/>
        <n v="20.9"/>
        <n v="28.4"/>
      </sharedItems>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acheField>
    <cacheField name="Experience_Level" numFmtId="0">
      <sharedItems containsString="0" containsBlank="1" containsNumber="1" containsInteger="1" minValue="1" maxValue="3"/>
    </cacheField>
    <cacheField name="BMI" numFmtId="0">
      <sharedItems containsString="0" containsBlank="1" containsNumber="1" minValue="12.32" maxValue="49.84" count="104">
        <n v="14.31"/>
        <n v="33.49"/>
        <n v="12.73"/>
        <n v="20.37"/>
        <n v="20.83"/>
        <n v="13.02"/>
        <n v="18.12"/>
        <n v="19.16"/>
        <n v="49.84"/>
        <n v="12.32"/>
        <n v="28.39"/>
        <n v="15.99"/>
        <n v="14.48"/>
        <n v="19.09"/>
        <n v="13.91"/>
        <n v="22.61"/>
        <n v="23.64"/>
        <n v="22.69"/>
        <n v="21.04"/>
        <n v="18.23"/>
        <n v="25.59"/>
        <n v="18.07"/>
        <n v="15.23"/>
        <n v="16.87"/>
        <n v="24.43"/>
        <n v="17.79"/>
        <n v="20.59"/>
        <n v="17.68"/>
        <n v="18.61"/>
        <n v="17.920000000000002"/>
        <n v="27.74"/>
        <n v="19.18"/>
        <n v="18.95"/>
        <n v="23.19"/>
        <n v="16.66"/>
        <n v="21.08"/>
        <n v="17.989999999999998"/>
        <n v="21.67"/>
        <n v="23.77"/>
        <n v="26.4"/>
        <n v="18.54"/>
        <n v="17.71"/>
        <n v="15.52"/>
        <n v="18.989999999999998"/>
        <n v="12.9"/>
        <n v="15.73"/>
        <n v="19.62"/>
        <n v="34.369999999999997"/>
        <n v="39.74"/>
        <n v="16.07"/>
        <n v="19.63"/>
        <n v="28.93"/>
        <n v="16.260000000000002"/>
        <n v="16.91"/>
        <n v="19.829999999999998"/>
        <n v="20.47"/>
        <n v="18.78"/>
        <n v="26.25"/>
        <n v="23.23"/>
        <n v="26.08"/>
        <n v="24.32"/>
        <n v="20.97"/>
        <n v="16.059999999999999"/>
        <n v="22.87"/>
        <n v="18.57"/>
        <n v="16.41"/>
        <n v="13.71"/>
        <n v="30.34"/>
        <n v="14.08"/>
        <n v="13.16"/>
        <n v="21.1"/>
        <n v="18.64"/>
        <n v="17.55"/>
        <n v="13.93"/>
        <n v="12.46"/>
        <n v="15.36"/>
        <n v="22.98"/>
        <n v="15.76"/>
        <m/>
        <n v="29.91"/>
        <n v="16.920000000000002"/>
        <n v="20.04"/>
        <n v="24.51"/>
        <n v="17.829999999999998"/>
        <n v="20.71"/>
        <n v="20.059999999999999"/>
        <n v="25.83"/>
        <n v="34.01"/>
        <n v="21.23"/>
        <n v="25.57"/>
        <n v="31.5"/>
        <n v="18.7"/>
        <n v="17.11"/>
        <n v="25.16"/>
        <n v="20.62"/>
        <n v="34.21"/>
        <n v="19.07"/>
        <n v="23.73"/>
        <n v="13.13"/>
        <n v="15.47"/>
        <n v="20.100000000000001"/>
        <n v="19.66"/>
        <n v="14.27"/>
        <n v="20.67"/>
      </sharedItems>
    </cacheField>
  </cacheFields>
  <extLst>
    <ext xmlns:x14="http://schemas.microsoft.com/office/spreadsheetml/2009/9/main" uri="{725AE2AE-9491-48be-B2B4-4EB974FC3084}">
      <x14:pivotCacheDefinition pivotCacheId="22280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86.7"/>
    <n v="1.86"/>
    <x v="0"/>
    <n v="152"/>
    <n v="74"/>
    <n v="1.1200000000000001"/>
    <x v="0"/>
    <x v="0"/>
    <x v="0"/>
    <n v="12.8"/>
    <x v="0"/>
    <x v="0"/>
    <n v="2"/>
    <n v="14.31"/>
  </r>
  <r>
    <x v="1"/>
    <n v="84.7"/>
    <n v="1.83"/>
    <x v="1"/>
    <n v="156"/>
    <n v="73"/>
    <n v="1"/>
    <x v="1"/>
    <x v="0"/>
    <x v="0"/>
    <n v="27.9"/>
    <x v="1"/>
    <x v="0"/>
    <n v="2"/>
    <n v="33.49"/>
  </r>
  <r>
    <x v="2"/>
    <n v="64.8"/>
    <n v="1.85"/>
    <x v="2"/>
    <n v="166"/>
    <n v="64"/>
    <n v="1.24"/>
    <x v="2"/>
    <x v="1"/>
    <x v="1"/>
    <n v="28.7"/>
    <x v="2"/>
    <x v="1"/>
    <n v="2"/>
    <n v="12.73"/>
  </r>
  <r>
    <x v="3"/>
    <n v="75.3"/>
    <n v="1.82"/>
    <x v="2"/>
    <n v="169"/>
    <n v="58"/>
    <n v="1.45"/>
    <x v="3"/>
    <x v="1"/>
    <x v="0"/>
    <n v="31.8"/>
    <x v="0"/>
    <x v="2"/>
    <n v="1"/>
    <n v="20.37"/>
  </r>
  <r>
    <x v="0"/>
    <n v="52.8"/>
    <n v="1.74"/>
    <x v="3"/>
    <n v="169"/>
    <n v="66"/>
    <n v="1.6"/>
    <x v="4"/>
    <x v="0"/>
    <x v="0"/>
    <n v="26.4"/>
    <x v="3"/>
    <x v="2"/>
    <n v="2"/>
    <n v="20.83"/>
  </r>
  <r>
    <x v="4"/>
    <n v="53"/>
    <n v="1.58"/>
    <x v="4"/>
    <n v="128"/>
    <n v="74"/>
    <n v="1.62"/>
    <x v="5"/>
    <x v="2"/>
    <x v="0"/>
    <n v="23.4"/>
    <x v="4"/>
    <x v="3"/>
    <n v="2"/>
    <n v="13.02"/>
  </r>
  <r>
    <x v="5"/>
    <n v="46.5"/>
    <n v="1.81"/>
    <x v="5"/>
    <n v="142"/>
    <n v="74"/>
    <n v="1.46"/>
    <x v="6"/>
    <x v="1"/>
    <x v="0"/>
    <n v="11.9"/>
    <x v="5"/>
    <x v="3"/>
    <n v="2"/>
    <n v="18.12"/>
  </r>
  <r>
    <x v="6"/>
    <n v="88.5"/>
    <n v="1.63"/>
    <x v="6"/>
    <n v="136"/>
    <n v="63"/>
    <n v="1.63"/>
    <x v="7"/>
    <x v="0"/>
    <x v="0"/>
    <n v="11.6"/>
    <x v="6"/>
    <x v="2"/>
    <n v="2"/>
    <n v="19.16"/>
  </r>
  <r>
    <x v="7"/>
    <n v="82.9"/>
    <n v="1.54"/>
    <x v="0"/>
    <n v="169"/>
    <n v="64"/>
    <n v="0.77"/>
    <x v="8"/>
    <x v="2"/>
    <x v="0"/>
    <n v="27.8"/>
    <x v="7"/>
    <x v="1"/>
    <n v="1"/>
    <n v="49.84"/>
  </r>
  <r>
    <x v="0"/>
    <n v="65.900000000000006"/>
    <n v="1.74"/>
    <x v="7"/>
    <n v="169"/>
    <n v="73"/>
    <n v="2"/>
    <x v="9"/>
    <x v="3"/>
    <x v="0"/>
    <n v="30.5"/>
    <x v="3"/>
    <x v="0"/>
    <n v="2"/>
    <n v="12.32"/>
  </r>
  <r>
    <x v="8"/>
    <n v="47"/>
    <n v="1.78"/>
    <x v="6"/>
    <n v="155"/>
    <n v="55"/>
    <n v="1.89"/>
    <x v="10"/>
    <x v="3"/>
    <x v="0"/>
    <n v="31.7"/>
    <x v="8"/>
    <x v="1"/>
    <n v="3"/>
    <n v="28.39"/>
  </r>
  <r>
    <x v="9"/>
    <n v="40"/>
    <n v="1.88"/>
    <x v="8"/>
    <n v="131"/>
    <n v="69"/>
    <n v="2"/>
    <x v="11"/>
    <x v="3"/>
    <x v="1"/>
    <n v="25.4"/>
    <x v="0"/>
    <x v="3"/>
    <n v="2"/>
    <n v="12.32"/>
  </r>
  <r>
    <x v="10"/>
    <n v="87.7"/>
    <n v="1.98"/>
    <x v="9"/>
    <n v="145"/>
    <n v="50"/>
    <n v="1.61"/>
    <x v="12"/>
    <x v="0"/>
    <x v="1"/>
    <n v="14.1"/>
    <x v="8"/>
    <x v="1"/>
    <n v="2"/>
    <n v="15.99"/>
  </r>
  <r>
    <x v="11"/>
    <n v="107.4"/>
    <n v="1.73"/>
    <x v="10"/>
    <n v="141"/>
    <n v="71"/>
    <n v="0.65"/>
    <x v="13"/>
    <x v="2"/>
    <x v="0"/>
    <n v="26"/>
    <x v="9"/>
    <x v="3"/>
    <n v="3"/>
    <n v="14.48"/>
  </r>
  <r>
    <x v="10"/>
    <n v="71.7"/>
    <n v="1.91"/>
    <x v="11"/>
    <n v="148"/>
    <n v="74"/>
    <n v="1.1499999999999999"/>
    <x v="14"/>
    <x v="1"/>
    <x v="0"/>
    <n v="32.5"/>
    <x v="10"/>
    <x v="2"/>
    <n v="2"/>
    <n v="19.09"/>
  </r>
  <r>
    <x v="12"/>
    <n v="90.6"/>
    <n v="1.6"/>
    <x v="4"/>
    <n v="125"/>
    <n v="52"/>
    <n v="1.03"/>
    <x v="15"/>
    <x v="3"/>
    <x v="0"/>
    <n v="16"/>
    <x v="11"/>
    <x v="2"/>
    <n v="2"/>
    <n v="13.91"/>
  </r>
  <r>
    <x v="13"/>
    <n v="56.2"/>
    <n v="1.76"/>
    <x v="7"/>
    <n v="141"/>
    <n v="55"/>
    <n v="1.45"/>
    <x v="16"/>
    <x v="2"/>
    <x v="1"/>
    <n v="23.9"/>
    <x v="3"/>
    <x v="2"/>
    <n v="1"/>
    <n v="22.61"/>
  </r>
  <r>
    <x v="8"/>
    <n v="71.3"/>
    <n v="1.77"/>
    <x v="12"/>
    <n v="124"/>
    <n v="74"/>
    <n v="0.69"/>
    <x v="17"/>
    <x v="1"/>
    <x v="0"/>
    <n v="21.9"/>
    <x v="12"/>
    <x v="0"/>
    <n v="1"/>
    <n v="14.31"/>
  </r>
  <r>
    <x v="3"/>
    <n v="47.7"/>
    <n v="1.56"/>
    <x v="6"/>
    <n v="128"/>
    <n v="74"/>
    <n v="1.5"/>
    <x v="18"/>
    <x v="3"/>
    <x v="0"/>
    <n v="26.5"/>
    <x v="13"/>
    <x v="1"/>
    <n v="1"/>
    <n v="23.64"/>
  </r>
  <r>
    <x v="14"/>
    <n v="63"/>
    <n v="1.51"/>
    <x v="13"/>
    <n v="169"/>
    <n v="71"/>
    <n v="1.3"/>
    <x v="19"/>
    <x v="1"/>
    <x v="1"/>
    <n v="23.8"/>
    <x v="8"/>
    <x v="1"/>
    <n v="2"/>
    <n v="22.69"/>
  </r>
  <r>
    <x v="1"/>
    <n v="129.9"/>
    <n v="1.71"/>
    <x v="14"/>
    <n v="136"/>
    <n v="74"/>
    <n v="1.27"/>
    <x v="20"/>
    <x v="3"/>
    <x v="1"/>
    <n v="26.6"/>
    <x v="6"/>
    <x v="0"/>
    <n v="1"/>
    <n v="21.04"/>
  </r>
  <r>
    <x v="2"/>
    <n v="102.4"/>
    <n v="1.5"/>
    <x v="15"/>
    <n v="156"/>
    <n v="55"/>
    <n v="1.44"/>
    <x v="21"/>
    <x v="2"/>
    <x v="0"/>
    <n v="17.5"/>
    <x v="14"/>
    <x v="2"/>
    <n v="3"/>
    <n v="18.23"/>
  </r>
  <r>
    <x v="15"/>
    <n v="64.2"/>
    <n v="1.78"/>
    <x v="16"/>
    <n v="130"/>
    <n v="74"/>
    <n v="1.38"/>
    <x v="22"/>
    <x v="3"/>
    <x v="0"/>
    <n v="31.9"/>
    <x v="12"/>
    <x v="4"/>
    <n v="1"/>
    <n v="25.59"/>
  </r>
  <r>
    <x v="7"/>
    <n v="129.4"/>
    <n v="1.5"/>
    <x v="3"/>
    <n v="145"/>
    <n v="71"/>
    <m/>
    <x v="23"/>
    <x v="0"/>
    <x v="1"/>
    <n v="22"/>
    <x v="15"/>
    <x v="0"/>
    <n v="1"/>
    <n v="18.07"/>
  </r>
  <r>
    <x v="16"/>
    <n v="57.2"/>
    <n v="1.82"/>
    <x v="13"/>
    <n v="140"/>
    <n v="74"/>
    <n v="1.1499999999999999"/>
    <x v="24"/>
    <x v="0"/>
    <x v="1"/>
    <n v="26.9"/>
    <x v="16"/>
    <x v="2"/>
    <n v="2"/>
    <n v="15.23"/>
  </r>
  <r>
    <x v="17"/>
    <n v="71.8"/>
    <n v="1.5"/>
    <x v="17"/>
    <n v="152"/>
    <n v="74"/>
    <n v="1.94"/>
    <x v="25"/>
    <x v="3"/>
    <x v="1"/>
    <n v="28.9"/>
    <x v="17"/>
    <x v="1"/>
    <n v="1"/>
    <n v="16.87"/>
  </r>
  <r>
    <x v="7"/>
    <n v="112.4"/>
    <n v="1.71"/>
    <x v="3"/>
    <n v="165"/>
    <n v="55"/>
    <n v="1.56"/>
    <x v="26"/>
    <x v="2"/>
    <x v="1"/>
    <n v="33.5"/>
    <x v="15"/>
    <x v="3"/>
    <n v="2"/>
    <n v="24.43"/>
  </r>
  <r>
    <x v="7"/>
    <n v="40"/>
    <n v="1.72"/>
    <x v="18"/>
    <n v="155"/>
    <n v="74"/>
    <n v="1.51"/>
    <x v="27"/>
    <x v="1"/>
    <x v="1"/>
    <n v="26.4"/>
    <x v="4"/>
    <x v="3"/>
    <m/>
    <n v="17.79"/>
  </r>
  <r>
    <x v="16"/>
    <n v="64.3"/>
    <n v="1.65"/>
    <x v="19"/>
    <n v="169"/>
    <n v="67"/>
    <n v="1.28"/>
    <x v="28"/>
    <x v="1"/>
    <x v="0"/>
    <n v="20"/>
    <x v="3"/>
    <x v="3"/>
    <n v="3"/>
    <n v="20.59"/>
  </r>
  <r>
    <x v="18"/>
    <n v="72.400000000000006"/>
    <n v="1.74"/>
    <x v="20"/>
    <n v="127"/>
    <n v="60"/>
    <n v="1.4"/>
    <x v="29"/>
    <x v="3"/>
    <x v="1"/>
    <n v="16.899999999999999"/>
    <x v="14"/>
    <x v="3"/>
    <n v="1"/>
    <n v="17.68"/>
  </r>
  <r>
    <x v="19"/>
    <n v="62.4"/>
    <n v="1.56"/>
    <x v="21"/>
    <n v="141"/>
    <n v="55"/>
    <n v="2"/>
    <x v="30"/>
    <x v="1"/>
    <x v="1"/>
    <n v="32.200000000000003"/>
    <x v="18"/>
    <x v="1"/>
    <n v="1"/>
    <n v="18.61"/>
  </r>
  <r>
    <x v="20"/>
    <n v="78.599999999999994"/>
    <n v="1.65"/>
    <x v="22"/>
    <n v="127"/>
    <n v="66"/>
    <n v="1.61"/>
    <x v="31"/>
    <x v="3"/>
    <x v="0"/>
    <n v="26.8"/>
    <x v="19"/>
    <x v="1"/>
    <n v="1"/>
    <n v="17.920000000000002"/>
  </r>
  <r>
    <x v="5"/>
    <n v="45"/>
    <n v="1.53"/>
    <x v="23"/>
    <n v="158"/>
    <n v="50"/>
    <n v="0.7"/>
    <x v="32"/>
    <x v="0"/>
    <x v="0"/>
    <n v="21.9"/>
    <x v="18"/>
    <x v="2"/>
    <n v="1"/>
    <n v="27.74"/>
  </r>
  <r>
    <x v="21"/>
    <n v="103.4"/>
    <n v="1.53"/>
    <x v="24"/>
    <n v="166"/>
    <n v="56"/>
    <n v="1.28"/>
    <x v="33"/>
    <x v="2"/>
    <x v="0"/>
    <n v="23"/>
    <x v="9"/>
    <x v="2"/>
    <n v="1"/>
    <n v="19.18"/>
  </r>
  <r>
    <x v="22"/>
    <n v="79.2"/>
    <n v="1.85"/>
    <x v="25"/>
    <n v="147"/>
    <n v="51"/>
    <n v="1.52"/>
    <x v="34"/>
    <x v="0"/>
    <x v="1"/>
    <n v="23.2"/>
    <x v="20"/>
    <x v="2"/>
    <n v="1"/>
    <n v="18.95"/>
  </r>
  <r>
    <x v="23"/>
    <n v="40"/>
    <n v="1.84"/>
    <x v="26"/>
    <n v="156"/>
    <n v="56"/>
    <n v="1.2"/>
    <x v="35"/>
    <x v="1"/>
    <x v="0"/>
    <n v="25"/>
    <x v="20"/>
    <x v="2"/>
    <n v="2"/>
    <n v="12.32"/>
  </r>
  <r>
    <x v="24"/>
    <n v="75.7"/>
    <n v="1.61"/>
    <x v="16"/>
    <n v="147"/>
    <n v="52"/>
    <n v="0.92"/>
    <x v="36"/>
    <x v="0"/>
    <x v="1"/>
    <n v="21.2"/>
    <x v="0"/>
    <x v="1"/>
    <n v="2"/>
    <n v="23.19"/>
  </r>
  <r>
    <x v="25"/>
    <n v="76.8"/>
    <n v="1.75"/>
    <x v="1"/>
    <n v="125"/>
    <n v="74"/>
    <n v="1.56"/>
    <x v="37"/>
    <x v="0"/>
    <x v="1"/>
    <n v="25.1"/>
    <x v="10"/>
    <x v="1"/>
    <n v="1"/>
    <n v="16.66"/>
  </r>
  <r>
    <x v="26"/>
    <n v="112.6"/>
    <n v="1.69"/>
    <x v="27"/>
    <n v="162"/>
    <n v="63"/>
    <n v="0.89"/>
    <x v="38"/>
    <x v="1"/>
    <x v="0"/>
    <n v="22.6"/>
    <x v="4"/>
    <x v="2"/>
    <n v="2"/>
    <n v="12.32"/>
  </r>
  <r>
    <x v="7"/>
    <n v="73.7"/>
    <n v="1.78"/>
    <x v="16"/>
    <n v="154"/>
    <n v="73"/>
    <n v="1.18"/>
    <x v="39"/>
    <x v="0"/>
    <x v="1"/>
    <n v="27.4"/>
    <x v="16"/>
    <x v="3"/>
    <n v="2"/>
    <n v="21.08"/>
  </r>
  <r>
    <x v="7"/>
    <n v="84"/>
    <n v="1.71"/>
    <x v="28"/>
    <n v="148"/>
    <n v="52"/>
    <n v="0.92"/>
    <x v="40"/>
    <x v="0"/>
    <x v="0"/>
    <n v="28.3"/>
    <x v="21"/>
    <x v="1"/>
    <n v="3"/>
    <n v="17.989999999999998"/>
  </r>
  <r>
    <x v="19"/>
    <n v="68"/>
    <n v="1.7"/>
    <x v="0"/>
    <n v="155"/>
    <n v="68"/>
    <n v="0.74"/>
    <x v="41"/>
    <x v="3"/>
    <x v="1"/>
    <n v="17"/>
    <x v="8"/>
    <x v="1"/>
    <n v="2"/>
    <n v="21.67"/>
  </r>
  <r>
    <x v="13"/>
    <n v="107.6"/>
    <n v="1.5"/>
    <x v="29"/>
    <n v="136"/>
    <n v="71"/>
    <n v="1.53"/>
    <x v="42"/>
    <x v="1"/>
    <x v="1"/>
    <n v="10"/>
    <x v="8"/>
    <x v="0"/>
    <n v="3"/>
    <n v="23.77"/>
  </r>
  <r>
    <x v="12"/>
    <n v="54.3"/>
    <n v="1.82"/>
    <x v="30"/>
    <n v="168"/>
    <n v="66"/>
    <n v="1.4"/>
    <x v="43"/>
    <x v="4"/>
    <x v="0"/>
    <n v="25.4"/>
    <x v="18"/>
    <x v="1"/>
    <n v="1"/>
    <n v="26.4"/>
  </r>
  <r>
    <x v="7"/>
    <n v="42.8"/>
    <n v="1.89"/>
    <x v="28"/>
    <n v="162"/>
    <n v="73"/>
    <n v="2"/>
    <x v="44"/>
    <x v="4"/>
    <x v="0"/>
    <n v="22.5"/>
    <x v="13"/>
    <x v="1"/>
    <n v="2"/>
    <n v="18.54"/>
  </r>
  <r>
    <x v="27"/>
    <n v="55.4"/>
    <n v="1.68"/>
    <x v="11"/>
    <n v="150"/>
    <n v="52"/>
    <n v="1.04"/>
    <x v="45"/>
    <x v="1"/>
    <x v="2"/>
    <n v="27.4"/>
    <x v="3"/>
    <x v="4"/>
    <n v="3"/>
    <n v="17.71"/>
  </r>
  <r>
    <x v="28"/>
    <n v="102.4"/>
    <n v="1.65"/>
    <x v="30"/>
    <n v="148"/>
    <n v="68"/>
    <n v="1.27"/>
    <x v="46"/>
    <x v="1"/>
    <x v="0"/>
    <n v="34.799999999999997"/>
    <x v="20"/>
    <x v="0"/>
    <m/>
    <n v="15.52"/>
  </r>
  <r>
    <x v="29"/>
    <n v="95.5"/>
    <n v="1.95"/>
    <x v="8"/>
    <n v="125"/>
    <n v="72"/>
    <n v="1.91"/>
    <x v="47"/>
    <x v="2"/>
    <x v="0"/>
    <n v="26.1"/>
    <x v="20"/>
    <x v="2"/>
    <n v="1"/>
    <n v="12.32"/>
  </r>
  <r>
    <x v="20"/>
    <n v="58.7"/>
    <n v="1.98"/>
    <x v="23"/>
    <n v="145"/>
    <n v="52"/>
    <n v="2"/>
    <x v="48"/>
    <x v="1"/>
    <x v="0"/>
    <n v="23"/>
    <x v="10"/>
    <x v="3"/>
    <n v="3"/>
    <n v="18.989999999999998"/>
  </r>
  <r>
    <x v="24"/>
    <n v="49.7"/>
    <n v="1.86"/>
    <x v="4"/>
    <n v="156"/>
    <n v="62"/>
    <n v="1.1200000000000001"/>
    <x v="49"/>
    <x v="0"/>
    <x v="0"/>
    <n v="15.2"/>
    <x v="6"/>
    <x v="2"/>
    <n v="3"/>
    <n v="12.32"/>
  </r>
  <r>
    <x v="30"/>
    <n v="86.5"/>
    <n v="1.65"/>
    <x v="14"/>
    <n v="169"/>
    <n v="59"/>
    <n v="1.08"/>
    <x v="50"/>
    <x v="1"/>
    <x v="0"/>
    <n v="27.3"/>
    <x v="12"/>
    <x v="1"/>
    <n v="1"/>
    <n v="12.9"/>
  </r>
  <r>
    <x v="5"/>
    <n v="63.6"/>
    <n v="1.78"/>
    <x v="31"/>
    <n v="129"/>
    <n v="74"/>
    <n v="1.34"/>
    <x v="51"/>
    <x v="3"/>
    <x v="0"/>
    <n v="10.7"/>
    <x v="21"/>
    <x v="2"/>
    <n v="1"/>
    <n v="15.73"/>
  </r>
  <r>
    <x v="23"/>
    <n v="58.7"/>
    <n v="1.58"/>
    <x v="32"/>
    <n v="131"/>
    <n v="53"/>
    <n v="1.1399999999999999"/>
    <x v="52"/>
    <x v="2"/>
    <x v="1"/>
    <n v="28.5"/>
    <x v="17"/>
    <x v="1"/>
    <m/>
    <n v="19.62"/>
  </r>
  <r>
    <x v="28"/>
    <n v="56.6"/>
    <n v="1.75"/>
    <x v="22"/>
    <n v="120"/>
    <n v="72"/>
    <n v="1.1200000000000001"/>
    <x v="53"/>
    <x v="3"/>
    <x v="0"/>
    <n v="23.6"/>
    <x v="16"/>
    <x v="3"/>
    <n v="2"/>
    <n v="34.369999999999997"/>
  </r>
  <r>
    <x v="15"/>
    <n v="40"/>
    <n v="1.71"/>
    <x v="25"/>
    <n v="169"/>
    <n v="69"/>
    <n v="1.3"/>
    <x v="54"/>
    <x v="2"/>
    <x v="0"/>
    <n v="27.5"/>
    <x v="10"/>
    <x v="2"/>
    <n v="1"/>
    <n v="39.74"/>
  </r>
  <r>
    <x v="13"/>
    <n v="67.7"/>
    <n v="1.73"/>
    <x v="18"/>
    <n v="162"/>
    <n v="54"/>
    <n v="1.76"/>
    <x v="55"/>
    <x v="3"/>
    <x v="0"/>
    <n v="18"/>
    <x v="3"/>
    <x v="1"/>
    <n v="1"/>
    <n v="16.07"/>
  </r>
  <r>
    <x v="11"/>
    <n v="40"/>
    <n v="1.74"/>
    <x v="33"/>
    <n v="146"/>
    <n v="74"/>
    <n v="1.43"/>
    <x v="56"/>
    <x v="3"/>
    <x v="0"/>
    <n v="26"/>
    <x v="21"/>
    <x v="3"/>
    <n v="1"/>
    <n v="19.63"/>
  </r>
  <r>
    <x v="26"/>
    <n v="68"/>
    <n v="1.69"/>
    <x v="30"/>
    <n v="144"/>
    <n v="68"/>
    <n v="1.23"/>
    <x v="57"/>
    <x v="3"/>
    <x v="2"/>
    <n v="14.2"/>
    <x v="16"/>
    <x v="3"/>
    <n v="1"/>
    <n v="28.93"/>
  </r>
  <r>
    <x v="30"/>
    <n v="68.3"/>
    <n v="1.74"/>
    <x v="13"/>
    <n v="161"/>
    <n v="51"/>
    <n v="1.9"/>
    <x v="58"/>
    <x v="1"/>
    <x v="1"/>
    <n v="27.5"/>
    <x v="11"/>
    <x v="2"/>
    <m/>
    <n v="16.260000000000002"/>
  </r>
  <r>
    <x v="2"/>
    <n v="99.1"/>
    <n v="1.72"/>
    <x v="26"/>
    <n v="169"/>
    <n v="62"/>
    <n v="1.1399999999999999"/>
    <x v="59"/>
    <x v="3"/>
    <x v="0"/>
    <n v="31.4"/>
    <x v="18"/>
    <x v="2"/>
    <n v="1"/>
    <n v="16.91"/>
  </r>
  <r>
    <x v="21"/>
    <n v="72.900000000000006"/>
    <n v="1.63"/>
    <x v="34"/>
    <n v="156"/>
    <n v="51"/>
    <n v="1.1100000000000001"/>
    <x v="60"/>
    <x v="0"/>
    <x v="0"/>
    <n v="27.1"/>
    <x v="3"/>
    <x v="1"/>
    <n v="2"/>
    <n v="19.829999999999998"/>
  </r>
  <r>
    <x v="5"/>
    <n v="40"/>
    <n v="1.68"/>
    <x v="29"/>
    <n v="156"/>
    <n v="74"/>
    <n v="1.04"/>
    <x v="61"/>
    <x v="1"/>
    <x v="0"/>
    <n v="28.1"/>
    <x v="6"/>
    <x v="1"/>
    <n v="3"/>
    <n v="12.32"/>
  </r>
  <r>
    <x v="31"/>
    <n v="58.3"/>
    <n v="1.77"/>
    <x v="31"/>
    <n v="153"/>
    <n v="74"/>
    <n v="1.41"/>
    <x v="62"/>
    <x v="0"/>
    <x v="0"/>
    <n v="29.5"/>
    <x v="16"/>
    <x v="3"/>
    <n v="1"/>
    <n v="20.47"/>
  </r>
  <r>
    <x v="7"/>
    <n v="40"/>
    <n v="1.64"/>
    <x v="3"/>
    <n v="134"/>
    <n v="53"/>
    <n v="0.98"/>
    <x v="63"/>
    <x v="5"/>
    <x v="1"/>
    <n v="25.6"/>
    <x v="12"/>
    <x v="1"/>
    <n v="3"/>
    <n v="18.78"/>
  </r>
  <r>
    <x v="17"/>
    <n v="45.8"/>
    <n v="1.5"/>
    <x v="35"/>
    <n v="137"/>
    <n v="55"/>
    <n v="1.98"/>
    <x v="64"/>
    <x v="6"/>
    <x v="1"/>
    <n v="24"/>
    <x v="22"/>
    <x v="2"/>
    <n v="2"/>
    <n v="26.25"/>
  </r>
  <r>
    <x v="20"/>
    <n v="52.3"/>
    <n v="1.75"/>
    <x v="24"/>
    <n v="128"/>
    <n v="61"/>
    <n v="1.92"/>
    <x v="20"/>
    <x v="0"/>
    <x v="1"/>
    <n v="15"/>
    <x v="4"/>
    <x v="2"/>
    <n v="2"/>
    <n v="23.23"/>
  </r>
  <r>
    <x v="31"/>
    <n v="76.3"/>
    <n v="1.95"/>
    <x v="18"/>
    <n v="125"/>
    <n v="72"/>
    <n v="0.95"/>
    <x v="65"/>
    <x v="0"/>
    <x v="0"/>
    <n v="21.7"/>
    <x v="8"/>
    <x v="0"/>
    <n v="1"/>
    <n v="26.08"/>
  </r>
  <r>
    <x v="32"/>
    <n v="77.5"/>
    <n v="1.72"/>
    <x v="10"/>
    <n v="151"/>
    <n v="56"/>
    <n v="1.39"/>
    <x v="66"/>
    <x v="1"/>
    <x v="1"/>
    <n v="13.3"/>
    <x v="11"/>
    <x v="3"/>
    <n v="3"/>
    <n v="24.32"/>
  </r>
  <r>
    <x v="7"/>
    <m/>
    <n v="1.8"/>
    <x v="11"/>
    <n v="165"/>
    <n v="56"/>
    <n v="0.74"/>
    <x v="67"/>
    <x v="2"/>
    <x v="1"/>
    <n v="26.1"/>
    <x v="17"/>
    <x v="1"/>
    <n v="3"/>
    <n v="12.32"/>
  </r>
  <r>
    <x v="9"/>
    <n v="40"/>
    <n v="1.58"/>
    <x v="3"/>
    <n v="132"/>
    <n v="58"/>
    <n v="1.29"/>
    <x v="68"/>
    <x v="0"/>
    <x v="0"/>
    <n v="31.1"/>
    <x v="4"/>
    <x v="4"/>
    <n v="2"/>
    <n v="12.73"/>
  </r>
  <r>
    <x v="20"/>
    <n v="96.3"/>
    <n v="1.61"/>
    <x v="22"/>
    <n v="159"/>
    <n v="70"/>
    <n v="1.1599999999999999"/>
    <x v="69"/>
    <x v="1"/>
    <x v="1"/>
    <n v="32.1"/>
    <x v="19"/>
    <x v="1"/>
    <n v="1"/>
    <n v="12.32"/>
  </r>
  <r>
    <x v="0"/>
    <n v="49.6"/>
    <n v="1.52"/>
    <x v="5"/>
    <m/>
    <n v="59"/>
    <n v="1.59"/>
    <x v="70"/>
    <x v="2"/>
    <x v="0"/>
    <n v="22.2"/>
    <x v="14"/>
    <x v="1"/>
    <n v="1"/>
    <n v="20.97"/>
  </r>
  <r>
    <x v="33"/>
    <n v="86.4"/>
    <n v="1.51"/>
    <x v="36"/>
    <n v="159"/>
    <n v="69"/>
    <n v="1.23"/>
    <x v="71"/>
    <x v="6"/>
    <x v="1"/>
    <n v="35"/>
    <x v="17"/>
    <x v="1"/>
    <n v="3"/>
    <n v="16.059999999999999"/>
  </r>
  <r>
    <x v="34"/>
    <n v="68.400000000000006"/>
    <n v="1.85"/>
    <x v="29"/>
    <n v="150"/>
    <n v="58"/>
    <n v="1.1599999999999999"/>
    <x v="72"/>
    <x v="1"/>
    <x v="0"/>
    <n v="29.2"/>
    <x v="4"/>
    <x v="2"/>
    <n v="2"/>
    <n v="22.87"/>
  </r>
  <r>
    <x v="7"/>
    <n v="56.9"/>
    <n v="1.77"/>
    <x v="19"/>
    <n v="131"/>
    <n v="57"/>
    <n v="1.28"/>
    <x v="73"/>
    <x v="1"/>
    <x v="0"/>
    <n v="20.7"/>
    <x v="11"/>
    <x v="2"/>
    <n v="2"/>
    <n v="18.57"/>
  </r>
  <r>
    <x v="35"/>
    <n v="51.1"/>
    <n v="1.94"/>
    <x v="36"/>
    <n v="137"/>
    <n v="72"/>
    <n v="1.23"/>
    <x v="74"/>
    <x v="4"/>
    <x v="0"/>
    <n v="16.399999999999999"/>
    <x v="8"/>
    <x v="1"/>
    <n v="2"/>
    <n v="16.41"/>
  </r>
  <r>
    <x v="30"/>
    <n v="47.6"/>
    <n v="1.51"/>
    <x v="29"/>
    <n v="120"/>
    <n v="70"/>
    <n v="0.78"/>
    <x v="75"/>
    <x v="0"/>
    <x v="1"/>
    <n v="22.6"/>
    <x v="15"/>
    <x v="0"/>
    <n v="1"/>
    <n v="13.71"/>
  </r>
  <r>
    <x v="1"/>
    <n v="88.8"/>
    <n v="1.7"/>
    <x v="21"/>
    <n v="169"/>
    <n v="68"/>
    <n v="1.91"/>
    <x v="76"/>
    <x v="0"/>
    <x v="0"/>
    <n v="18.100000000000001"/>
    <x v="5"/>
    <x v="3"/>
    <n v="2"/>
    <n v="30.34"/>
  </r>
  <r>
    <x v="7"/>
    <n v="67.5"/>
    <n v="1.69"/>
    <x v="3"/>
    <n v="169"/>
    <n v="72"/>
    <n v="1.07"/>
    <x v="77"/>
    <x v="4"/>
    <x v="2"/>
    <n v="26.2"/>
    <x v="14"/>
    <x v="2"/>
    <n v="3"/>
    <n v="14.08"/>
  </r>
  <r>
    <x v="36"/>
    <n v="96.7"/>
    <n v="1.7"/>
    <x v="29"/>
    <n v="141"/>
    <n v="54"/>
    <n v="2"/>
    <x v="78"/>
    <x v="3"/>
    <x v="1"/>
    <n v="32.9"/>
    <x v="8"/>
    <x v="3"/>
    <n v="3"/>
    <n v="13.16"/>
  </r>
  <r>
    <x v="1"/>
    <n v="55.7"/>
    <n v="1.99"/>
    <x v="33"/>
    <n v="142"/>
    <n v="68"/>
    <n v="2"/>
    <x v="79"/>
    <x v="0"/>
    <x v="2"/>
    <n v="18.899999999999999"/>
    <x v="3"/>
    <x v="2"/>
    <n v="1"/>
    <n v="12.32"/>
  </r>
  <r>
    <x v="37"/>
    <n v="112"/>
    <n v="1.71"/>
    <x v="1"/>
    <n v="146"/>
    <n v="58"/>
    <n v="1.62"/>
    <x v="80"/>
    <x v="2"/>
    <x v="1"/>
    <n v="31.2"/>
    <x v="16"/>
    <x v="1"/>
    <n v="1"/>
    <n v="21.1"/>
  </r>
  <r>
    <x v="26"/>
    <n v="75.2"/>
    <n v="1.72"/>
    <x v="21"/>
    <n v="169"/>
    <n v="59"/>
    <n v="1.54"/>
    <x v="81"/>
    <x v="1"/>
    <x v="1"/>
    <n v="30.9"/>
    <x v="2"/>
    <x v="3"/>
    <m/>
    <n v="18.64"/>
  </r>
  <r>
    <x v="36"/>
    <n v="72"/>
    <n v="1.66"/>
    <x v="31"/>
    <n v="144"/>
    <n v="68"/>
    <n v="0.87"/>
    <x v="82"/>
    <x v="2"/>
    <x v="0"/>
    <n v="10"/>
    <x v="18"/>
    <x v="2"/>
    <n v="3"/>
    <n v="17.55"/>
  </r>
  <r>
    <x v="38"/>
    <n v="63.6"/>
    <n v="1.87"/>
    <x v="37"/>
    <n v="158"/>
    <m/>
    <n v="1.56"/>
    <x v="83"/>
    <x v="0"/>
    <x v="0"/>
    <n v="23.7"/>
    <x v="18"/>
    <x v="2"/>
    <n v="1"/>
    <n v="12.32"/>
  </r>
  <r>
    <x v="2"/>
    <n v="75.7"/>
    <n v="1.56"/>
    <x v="28"/>
    <n v="142"/>
    <n v="61"/>
    <n v="1.23"/>
    <x v="84"/>
    <x v="0"/>
    <x v="0"/>
    <n v="28.8"/>
    <x v="8"/>
    <x v="1"/>
    <n v="3"/>
    <n v="13.93"/>
  </r>
  <r>
    <x v="21"/>
    <n v="59.1"/>
    <n v="1.62"/>
    <x v="5"/>
    <n v="127"/>
    <n v="54"/>
    <n v="1.02"/>
    <x v="85"/>
    <x v="4"/>
    <x v="1"/>
    <n v="26.2"/>
    <x v="21"/>
    <x v="1"/>
    <m/>
    <n v="12.46"/>
  </r>
  <r>
    <x v="8"/>
    <n v="41.3"/>
    <n v="1.76"/>
    <x v="29"/>
    <n v="136"/>
    <n v="69"/>
    <n v="1.42"/>
    <x v="86"/>
    <x v="3"/>
    <x v="0"/>
    <n v="24.3"/>
    <x v="3"/>
    <x v="1"/>
    <n v="2"/>
    <n v="15.36"/>
  </r>
  <r>
    <x v="35"/>
    <n v="40"/>
    <n v="1.77"/>
    <x v="10"/>
    <n v="148"/>
    <n v="65"/>
    <n v="1.03"/>
    <x v="6"/>
    <x v="3"/>
    <x v="1"/>
    <n v="11.6"/>
    <x v="2"/>
    <x v="0"/>
    <n v="1"/>
    <n v="22.98"/>
  </r>
  <r>
    <x v="35"/>
    <n v="63.7"/>
    <n v="1.93"/>
    <x v="7"/>
    <n v="155"/>
    <n v="61"/>
    <n v="1.18"/>
    <x v="87"/>
    <x v="2"/>
    <x v="0"/>
    <n v="21.2"/>
    <x v="21"/>
    <x v="2"/>
    <n v="1"/>
    <n v="15.76"/>
  </r>
  <r>
    <x v="39"/>
    <n v="100"/>
    <n v="1.75"/>
    <x v="38"/>
    <n v="169"/>
    <n v="67"/>
    <n v="1.46"/>
    <x v="88"/>
    <x v="2"/>
    <x v="0"/>
    <n v="20.8"/>
    <x v="21"/>
    <x v="2"/>
    <n v="2"/>
    <m/>
  </r>
  <r>
    <x v="21"/>
    <n v="45"/>
    <n v="1.68"/>
    <x v="12"/>
    <n v="154"/>
    <n v="74"/>
    <n v="1.5"/>
    <x v="89"/>
    <x v="3"/>
    <x v="1"/>
    <n v="10"/>
    <x v="0"/>
    <x v="2"/>
    <n v="1"/>
    <n v="12.32"/>
  </r>
  <r>
    <x v="1"/>
    <n v="47.1"/>
    <n v="1.61"/>
    <x v="20"/>
    <n v="138"/>
    <n v="52"/>
    <n v="1.26"/>
    <x v="90"/>
    <x v="3"/>
    <x v="1"/>
    <n v="19.3"/>
    <x v="18"/>
    <x v="1"/>
    <n v="3"/>
    <n v="29.91"/>
  </r>
  <r>
    <x v="27"/>
    <n v="72.099999999999994"/>
    <n v="1.83"/>
    <x v="34"/>
    <n v="152"/>
    <n v="58"/>
    <n v="1.58"/>
    <x v="91"/>
    <x v="1"/>
    <x v="0"/>
    <n v="34.4"/>
    <x v="17"/>
    <x v="2"/>
    <n v="2"/>
    <n v="16.920000000000002"/>
  </r>
  <r>
    <x v="17"/>
    <n v="57.5"/>
    <n v="1.81"/>
    <x v="29"/>
    <n v="169"/>
    <n v="58"/>
    <n v="1.47"/>
    <x v="92"/>
    <x v="1"/>
    <x v="1"/>
    <n v="24.7"/>
    <x v="4"/>
    <x v="0"/>
    <n v="2"/>
    <n v="12.32"/>
  </r>
  <r>
    <x v="2"/>
    <n v="54.3"/>
    <n v="1.85"/>
    <x v="17"/>
    <n v="144"/>
    <n v="53"/>
    <n v="2"/>
    <x v="93"/>
    <x v="6"/>
    <x v="1"/>
    <n v="26.6"/>
    <x v="5"/>
    <x v="2"/>
    <n v="2"/>
    <n v="20.04"/>
  </r>
  <r>
    <x v="16"/>
    <n v="63.9"/>
    <n v="1.67"/>
    <x v="25"/>
    <n v="144"/>
    <n v="61"/>
    <n v="1.56"/>
    <x v="94"/>
    <x v="0"/>
    <x v="1"/>
    <n v="24.8"/>
    <x v="0"/>
    <x v="1"/>
    <n v="2"/>
    <n v="24.51"/>
  </r>
  <r>
    <x v="18"/>
    <n v="56.6"/>
    <n v="2"/>
    <x v="38"/>
    <n v="123"/>
    <n v="65"/>
    <n v="1.25"/>
    <x v="95"/>
    <x v="2"/>
    <x v="1"/>
    <n v="14.7"/>
    <x v="11"/>
    <x v="2"/>
    <n v="3"/>
    <n v="17.829999999999998"/>
  </r>
  <r>
    <x v="27"/>
    <n v="68.900000000000006"/>
    <n v="1.65"/>
    <x v="12"/>
    <n v="132"/>
    <n v="50"/>
    <n v="1.19"/>
    <x v="96"/>
    <x v="0"/>
    <x v="0"/>
    <n v="23"/>
    <x v="23"/>
    <x v="1"/>
    <n v="3"/>
    <n v="20.71"/>
  </r>
  <r>
    <x v="36"/>
    <n v="95.3"/>
    <n v="1.72"/>
    <x v="38"/>
    <n v="169"/>
    <n v="74"/>
    <n v="1.49"/>
    <x v="97"/>
    <x v="2"/>
    <x v="0"/>
    <n v="29.2"/>
    <x v="5"/>
    <x v="0"/>
    <n v="3"/>
    <n v="20.059999999999999"/>
  </r>
  <r>
    <x v="12"/>
    <n v="96.3"/>
    <n v="2"/>
    <x v="15"/>
    <n v="136"/>
    <n v="74"/>
    <n v="2"/>
    <x v="90"/>
    <x v="2"/>
    <x v="0"/>
    <n v="20.399999999999999"/>
    <x v="13"/>
    <x v="0"/>
    <n v="2"/>
    <n v="25.83"/>
  </r>
  <r>
    <x v="19"/>
    <n v="84.4"/>
    <n v="1.74"/>
    <x v="39"/>
    <n v="142"/>
    <n v="52"/>
    <n v="1.45"/>
    <x v="98"/>
    <x v="0"/>
    <x v="1"/>
    <n v="22"/>
    <x v="16"/>
    <x v="3"/>
    <n v="1"/>
    <n v="34.01"/>
  </r>
  <r>
    <x v="31"/>
    <n v="60.5"/>
    <n v="1.54"/>
    <x v="7"/>
    <n v="126"/>
    <n v="56"/>
    <n v="1.27"/>
    <x v="99"/>
    <x v="1"/>
    <x v="1"/>
    <n v="29.1"/>
    <x v="5"/>
    <x v="2"/>
    <n v="2"/>
    <n v="21.23"/>
  </r>
  <r>
    <x v="26"/>
    <n v="49.8"/>
    <n v="1.69"/>
    <x v="13"/>
    <n v="143"/>
    <n v="56"/>
    <n v="1.37"/>
    <x v="100"/>
    <x v="0"/>
    <x v="0"/>
    <n v="17.7"/>
    <x v="10"/>
    <x v="1"/>
    <n v="3"/>
    <n v="25.57"/>
  </r>
  <r>
    <x v="18"/>
    <n v="47.2"/>
    <n v="1.81"/>
    <x v="2"/>
    <n v="129"/>
    <m/>
    <n v="1.19"/>
    <x v="101"/>
    <x v="2"/>
    <x v="1"/>
    <n v="30.5"/>
    <x v="2"/>
    <x v="2"/>
    <n v="2"/>
    <n v="31.5"/>
  </r>
  <r>
    <x v="3"/>
    <n v="56.3"/>
    <n v="1.59"/>
    <x v="33"/>
    <n v="169"/>
    <n v="68"/>
    <n v="1.47"/>
    <x v="102"/>
    <x v="1"/>
    <x v="2"/>
    <n v="19.600000000000001"/>
    <x v="19"/>
    <x v="2"/>
    <n v="2"/>
    <n v="18.7"/>
  </r>
  <r>
    <x v="28"/>
    <n v="45"/>
    <n v="1.84"/>
    <x v="38"/>
    <n v="159"/>
    <n v="53"/>
    <n v="1.3"/>
    <x v="103"/>
    <x v="2"/>
    <x v="1"/>
    <n v="26.5"/>
    <x v="13"/>
    <x v="2"/>
    <n v="2"/>
    <n v="17.11"/>
  </r>
  <r>
    <x v="40"/>
    <n v="87.7"/>
    <n v="1.84"/>
    <x v="34"/>
    <n v="152"/>
    <n v="53"/>
    <n v="1.37"/>
    <x v="104"/>
    <x v="1"/>
    <x v="1"/>
    <n v="24.7"/>
    <x v="16"/>
    <x v="0"/>
    <n v="2"/>
    <n v="25.16"/>
  </r>
  <r>
    <x v="3"/>
    <n v="46.1"/>
    <n v="1.85"/>
    <x v="2"/>
    <n v="162"/>
    <n v="63"/>
    <n v="1.35"/>
    <x v="23"/>
    <x v="0"/>
    <x v="0"/>
    <n v="25.7"/>
    <x v="18"/>
    <x v="2"/>
    <n v="1"/>
    <n v="20.62"/>
  </r>
  <r>
    <x v="7"/>
    <n v="69.8"/>
    <n v="1.82"/>
    <x v="25"/>
    <n v="168"/>
    <n v="58"/>
    <n v="1.9"/>
    <x v="105"/>
    <x v="2"/>
    <x v="0"/>
    <n v="31.4"/>
    <x v="5"/>
    <x v="0"/>
    <n v="2"/>
    <n v="34.21"/>
  </r>
  <r>
    <x v="7"/>
    <n v="79.2"/>
    <n v="1.77"/>
    <x v="22"/>
    <n v="137"/>
    <n v="66"/>
    <n v="1.2"/>
    <x v="106"/>
    <x v="3"/>
    <x v="1"/>
    <n v="12.9"/>
    <x v="5"/>
    <x v="1"/>
    <n v="2"/>
    <n v="19.07"/>
  </r>
  <r>
    <x v="36"/>
    <n v="60.6"/>
    <n v="1.76"/>
    <x v="18"/>
    <n v="148"/>
    <n v="50"/>
    <n v="1.38"/>
    <x v="107"/>
    <x v="0"/>
    <x v="1"/>
    <n v="30.2"/>
    <x v="4"/>
    <x v="1"/>
    <m/>
    <n v="23.73"/>
  </r>
  <r>
    <x v="2"/>
    <n v="53.3"/>
    <n v="1.73"/>
    <x v="33"/>
    <n v="144"/>
    <n v="71"/>
    <n v="1.1000000000000001"/>
    <x v="108"/>
    <x v="0"/>
    <x v="0"/>
    <n v="22.8"/>
    <x v="16"/>
    <x v="1"/>
    <n v="1"/>
    <n v="13.13"/>
  </r>
  <r>
    <x v="21"/>
    <n v="95.7"/>
    <n v="1.85"/>
    <x v="14"/>
    <n v="136"/>
    <n v="58"/>
    <n v="1.44"/>
    <x v="109"/>
    <x v="2"/>
    <x v="1"/>
    <n v="23.8"/>
    <x v="13"/>
    <x v="1"/>
    <n v="2"/>
    <n v="15.47"/>
  </r>
  <r>
    <x v="36"/>
    <n v="57.4"/>
    <n v="1.74"/>
    <x v="22"/>
    <n v="165"/>
    <n v="67"/>
    <n v="1.58"/>
    <x v="78"/>
    <x v="0"/>
    <x v="0"/>
    <n v="20.9"/>
    <x v="17"/>
    <x v="2"/>
    <n v="1"/>
    <m/>
  </r>
  <r>
    <x v="32"/>
    <n v="87.3"/>
    <n v="1.9"/>
    <x v="28"/>
    <n v="164"/>
    <n v="74"/>
    <n v="1.87"/>
    <x v="110"/>
    <x v="2"/>
    <x v="1"/>
    <n v="23.7"/>
    <x v="11"/>
    <x v="0"/>
    <n v="2"/>
    <n v="20.100000000000001"/>
  </r>
  <r>
    <x v="21"/>
    <m/>
    <n v="1.75"/>
    <x v="21"/>
    <n v="136"/>
    <n v="51"/>
    <n v="0.57999999999999996"/>
    <x v="111"/>
    <x v="3"/>
    <x v="0"/>
    <n v="28.4"/>
    <x v="9"/>
    <x v="2"/>
    <n v="1"/>
    <n v="19.66"/>
  </r>
  <r>
    <x v="7"/>
    <n v="79.2"/>
    <n v="1.66"/>
    <x v="10"/>
    <n v="154"/>
    <n v="72"/>
    <n v="1.58"/>
    <x v="112"/>
    <x v="0"/>
    <x v="1"/>
    <n v="18.100000000000001"/>
    <x v="8"/>
    <x v="1"/>
    <n v="1"/>
    <n v="14.27"/>
  </r>
  <r>
    <x v="7"/>
    <n v="73.8"/>
    <n v="1.75"/>
    <x v="2"/>
    <n v="149"/>
    <n v="74"/>
    <n v="1.64"/>
    <x v="113"/>
    <x v="2"/>
    <x v="1"/>
    <n v="17.7"/>
    <x v="0"/>
    <x v="1"/>
    <n v="1"/>
    <n v="17.79"/>
  </r>
  <r>
    <x v="31"/>
    <n v="66.3"/>
    <n v="1.76"/>
    <x v="34"/>
    <n v="120"/>
    <n v="74"/>
    <n v="1.44"/>
    <x v="114"/>
    <x v="4"/>
    <x v="0"/>
    <n v="25.4"/>
    <x v="16"/>
    <x v="1"/>
    <n v="3"/>
    <n v="20.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152"/>
    <n v="74"/>
    <n v="1.1200000000000001"/>
    <x v="0"/>
    <x v="0"/>
    <x v="0"/>
    <n v="12.8"/>
    <n v="2.4"/>
    <x v="0"/>
    <n v="2"/>
    <x v="0"/>
  </r>
  <r>
    <x v="1"/>
    <x v="1"/>
    <x v="1"/>
    <x v="1"/>
    <n v="156"/>
    <n v="73"/>
    <n v="1"/>
    <x v="1"/>
    <x v="0"/>
    <x v="0"/>
    <n v="27.9"/>
    <n v="2.8"/>
    <x v="0"/>
    <n v="2"/>
    <x v="1"/>
  </r>
  <r>
    <x v="2"/>
    <x v="2"/>
    <x v="2"/>
    <x v="2"/>
    <n v="166"/>
    <n v="64"/>
    <n v="1.24"/>
    <x v="2"/>
    <x v="1"/>
    <x v="1"/>
    <n v="28.7"/>
    <n v="1.9"/>
    <x v="1"/>
    <n v="2"/>
    <x v="2"/>
  </r>
  <r>
    <x v="3"/>
    <x v="3"/>
    <x v="3"/>
    <x v="2"/>
    <n v="169"/>
    <n v="58"/>
    <n v="1.45"/>
    <x v="3"/>
    <x v="1"/>
    <x v="0"/>
    <n v="31.8"/>
    <n v="2.4"/>
    <x v="2"/>
    <n v="1"/>
    <x v="3"/>
  </r>
  <r>
    <x v="0"/>
    <x v="4"/>
    <x v="4"/>
    <x v="3"/>
    <n v="169"/>
    <n v="66"/>
    <n v="1.6"/>
    <x v="4"/>
    <x v="0"/>
    <x v="0"/>
    <n v="26.4"/>
    <n v="3.2"/>
    <x v="2"/>
    <n v="2"/>
    <x v="4"/>
  </r>
  <r>
    <x v="4"/>
    <x v="5"/>
    <x v="5"/>
    <x v="4"/>
    <n v="128"/>
    <n v="74"/>
    <n v="1.62"/>
    <x v="5"/>
    <x v="2"/>
    <x v="0"/>
    <n v="23.4"/>
    <n v="2.5"/>
    <x v="3"/>
    <n v="2"/>
    <x v="5"/>
  </r>
  <r>
    <x v="5"/>
    <x v="6"/>
    <x v="6"/>
    <x v="5"/>
    <n v="142"/>
    <n v="74"/>
    <n v="1.46"/>
    <x v="6"/>
    <x v="1"/>
    <x v="0"/>
    <n v="11.9"/>
    <n v="3.7"/>
    <x v="3"/>
    <n v="2"/>
    <x v="6"/>
  </r>
  <r>
    <x v="6"/>
    <x v="7"/>
    <x v="7"/>
    <x v="6"/>
    <n v="136"/>
    <n v="63"/>
    <n v="1.63"/>
    <x v="7"/>
    <x v="0"/>
    <x v="0"/>
    <n v="11.6"/>
    <n v="1.8"/>
    <x v="2"/>
    <n v="2"/>
    <x v="7"/>
  </r>
  <r>
    <x v="7"/>
    <x v="8"/>
    <x v="8"/>
    <x v="0"/>
    <n v="169"/>
    <n v="64"/>
    <n v="0.77"/>
    <x v="8"/>
    <x v="2"/>
    <x v="0"/>
    <n v="27.8"/>
    <n v="2.2000000000000002"/>
    <x v="1"/>
    <n v="1"/>
    <x v="8"/>
  </r>
  <r>
    <x v="0"/>
    <x v="9"/>
    <x v="4"/>
    <x v="7"/>
    <n v="169"/>
    <n v="73"/>
    <n v="2"/>
    <x v="9"/>
    <x v="3"/>
    <x v="0"/>
    <n v="30.5"/>
    <n v="3.2"/>
    <x v="0"/>
    <n v="2"/>
    <x v="9"/>
  </r>
  <r>
    <x v="8"/>
    <x v="10"/>
    <x v="9"/>
    <x v="6"/>
    <n v="155"/>
    <n v="55"/>
    <n v="1.89"/>
    <x v="10"/>
    <x v="3"/>
    <x v="0"/>
    <n v="31.7"/>
    <n v="2.2999999999999998"/>
    <x v="1"/>
    <n v="3"/>
    <x v="10"/>
  </r>
  <r>
    <x v="9"/>
    <x v="11"/>
    <x v="10"/>
    <x v="8"/>
    <n v="131"/>
    <n v="69"/>
    <n v="2"/>
    <x v="11"/>
    <x v="3"/>
    <x v="1"/>
    <n v="25.4"/>
    <n v="2.4"/>
    <x v="3"/>
    <n v="2"/>
    <x v="9"/>
  </r>
  <r>
    <x v="10"/>
    <x v="12"/>
    <x v="11"/>
    <x v="9"/>
    <n v="145"/>
    <n v="50"/>
    <n v="1.61"/>
    <x v="12"/>
    <x v="0"/>
    <x v="1"/>
    <n v="14.1"/>
    <n v="2.2999999999999998"/>
    <x v="1"/>
    <n v="2"/>
    <x v="11"/>
  </r>
  <r>
    <x v="11"/>
    <x v="13"/>
    <x v="12"/>
    <x v="10"/>
    <n v="141"/>
    <n v="71"/>
    <n v="0.65"/>
    <x v="13"/>
    <x v="2"/>
    <x v="0"/>
    <n v="26"/>
    <n v="3"/>
    <x v="3"/>
    <n v="3"/>
    <x v="12"/>
  </r>
  <r>
    <x v="10"/>
    <x v="14"/>
    <x v="13"/>
    <x v="11"/>
    <n v="148"/>
    <n v="74"/>
    <n v="1.1499999999999999"/>
    <x v="14"/>
    <x v="1"/>
    <x v="0"/>
    <n v="32.5"/>
    <n v="2.7"/>
    <x v="2"/>
    <n v="2"/>
    <x v="13"/>
  </r>
  <r>
    <x v="12"/>
    <x v="15"/>
    <x v="14"/>
    <x v="4"/>
    <n v="125"/>
    <n v="52"/>
    <n v="1.03"/>
    <x v="15"/>
    <x v="3"/>
    <x v="0"/>
    <n v="16"/>
    <n v="3.5"/>
    <x v="2"/>
    <n v="2"/>
    <x v="14"/>
  </r>
  <r>
    <x v="13"/>
    <x v="16"/>
    <x v="15"/>
    <x v="7"/>
    <n v="141"/>
    <n v="55"/>
    <n v="1.45"/>
    <x v="16"/>
    <x v="2"/>
    <x v="1"/>
    <n v="23.9"/>
    <n v="3.2"/>
    <x v="2"/>
    <n v="1"/>
    <x v="15"/>
  </r>
  <r>
    <x v="8"/>
    <x v="17"/>
    <x v="16"/>
    <x v="12"/>
    <n v="124"/>
    <n v="74"/>
    <n v="0.69"/>
    <x v="17"/>
    <x v="1"/>
    <x v="0"/>
    <n v="21.9"/>
    <n v="2.1"/>
    <x v="0"/>
    <n v="1"/>
    <x v="0"/>
  </r>
  <r>
    <x v="3"/>
    <x v="18"/>
    <x v="17"/>
    <x v="6"/>
    <n v="128"/>
    <n v="74"/>
    <n v="1.5"/>
    <x v="18"/>
    <x v="3"/>
    <x v="0"/>
    <n v="26.5"/>
    <n v="1.5"/>
    <x v="1"/>
    <n v="1"/>
    <x v="16"/>
  </r>
  <r>
    <x v="14"/>
    <x v="19"/>
    <x v="18"/>
    <x v="13"/>
    <n v="169"/>
    <n v="71"/>
    <n v="1.3"/>
    <x v="19"/>
    <x v="1"/>
    <x v="1"/>
    <n v="23.8"/>
    <n v="2.2999999999999998"/>
    <x v="1"/>
    <n v="2"/>
    <x v="17"/>
  </r>
  <r>
    <x v="1"/>
    <x v="20"/>
    <x v="19"/>
    <x v="14"/>
    <n v="136"/>
    <n v="74"/>
    <n v="1.27"/>
    <x v="20"/>
    <x v="3"/>
    <x v="1"/>
    <n v="26.6"/>
    <n v="1.8"/>
    <x v="0"/>
    <n v="1"/>
    <x v="18"/>
  </r>
  <r>
    <x v="2"/>
    <x v="21"/>
    <x v="20"/>
    <x v="15"/>
    <n v="156"/>
    <n v="55"/>
    <n v="1.44"/>
    <x v="21"/>
    <x v="2"/>
    <x v="0"/>
    <n v="17.5"/>
    <n v="1.6"/>
    <x v="2"/>
    <n v="3"/>
    <x v="19"/>
  </r>
  <r>
    <x v="15"/>
    <x v="22"/>
    <x v="9"/>
    <x v="16"/>
    <n v="130"/>
    <n v="74"/>
    <n v="1.38"/>
    <x v="22"/>
    <x v="3"/>
    <x v="0"/>
    <n v="31.9"/>
    <n v="2.1"/>
    <x v="4"/>
    <n v="1"/>
    <x v="20"/>
  </r>
  <r>
    <x v="7"/>
    <x v="23"/>
    <x v="20"/>
    <x v="3"/>
    <n v="145"/>
    <n v="71"/>
    <m/>
    <x v="23"/>
    <x v="0"/>
    <x v="1"/>
    <n v="22"/>
    <n v="1.7"/>
    <x v="0"/>
    <n v="1"/>
    <x v="21"/>
  </r>
  <r>
    <x v="16"/>
    <x v="24"/>
    <x v="3"/>
    <x v="13"/>
    <n v="140"/>
    <n v="74"/>
    <n v="1.1499999999999999"/>
    <x v="24"/>
    <x v="0"/>
    <x v="1"/>
    <n v="26.9"/>
    <n v="2.6"/>
    <x v="2"/>
    <n v="2"/>
    <x v="22"/>
  </r>
  <r>
    <x v="17"/>
    <x v="25"/>
    <x v="20"/>
    <x v="17"/>
    <n v="152"/>
    <n v="74"/>
    <n v="1.94"/>
    <x v="25"/>
    <x v="3"/>
    <x v="1"/>
    <n v="28.9"/>
    <n v="3.3"/>
    <x v="1"/>
    <n v="1"/>
    <x v="23"/>
  </r>
  <r>
    <x v="7"/>
    <x v="26"/>
    <x v="19"/>
    <x v="3"/>
    <n v="165"/>
    <n v="55"/>
    <n v="1.56"/>
    <x v="26"/>
    <x v="2"/>
    <x v="1"/>
    <n v="33.5"/>
    <n v="1.7"/>
    <x v="3"/>
    <n v="2"/>
    <x v="24"/>
  </r>
  <r>
    <x v="7"/>
    <x v="11"/>
    <x v="21"/>
    <x v="18"/>
    <n v="155"/>
    <n v="74"/>
    <n v="1.51"/>
    <x v="27"/>
    <x v="1"/>
    <x v="1"/>
    <n v="26.4"/>
    <n v="2.5"/>
    <x v="3"/>
    <m/>
    <x v="25"/>
  </r>
  <r>
    <x v="16"/>
    <x v="27"/>
    <x v="22"/>
    <x v="19"/>
    <n v="169"/>
    <n v="67"/>
    <n v="1.28"/>
    <x v="28"/>
    <x v="1"/>
    <x v="0"/>
    <n v="20"/>
    <n v="3.2"/>
    <x v="3"/>
    <n v="3"/>
    <x v="26"/>
  </r>
  <r>
    <x v="18"/>
    <x v="28"/>
    <x v="4"/>
    <x v="20"/>
    <n v="127"/>
    <n v="60"/>
    <n v="1.4"/>
    <x v="29"/>
    <x v="3"/>
    <x v="1"/>
    <n v="16.899999999999999"/>
    <n v="1.6"/>
    <x v="3"/>
    <n v="1"/>
    <x v="27"/>
  </r>
  <r>
    <x v="19"/>
    <x v="29"/>
    <x v="17"/>
    <x v="21"/>
    <n v="141"/>
    <n v="55"/>
    <n v="2"/>
    <x v="30"/>
    <x v="1"/>
    <x v="1"/>
    <n v="32.200000000000003"/>
    <n v="3.6"/>
    <x v="1"/>
    <n v="1"/>
    <x v="28"/>
  </r>
  <r>
    <x v="20"/>
    <x v="30"/>
    <x v="22"/>
    <x v="22"/>
    <n v="127"/>
    <n v="66"/>
    <n v="1.61"/>
    <x v="31"/>
    <x v="3"/>
    <x v="0"/>
    <n v="26.8"/>
    <n v="3.1"/>
    <x v="1"/>
    <n v="1"/>
    <x v="29"/>
  </r>
  <r>
    <x v="5"/>
    <x v="31"/>
    <x v="23"/>
    <x v="23"/>
    <n v="158"/>
    <n v="50"/>
    <n v="0.7"/>
    <x v="32"/>
    <x v="0"/>
    <x v="0"/>
    <n v="21.9"/>
    <n v="3.6"/>
    <x v="2"/>
    <n v="1"/>
    <x v="30"/>
  </r>
  <r>
    <x v="21"/>
    <x v="32"/>
    <x v="23"/>
    <x v="24"/>
    <n v="166"/>
    <n v="56"/>
    <n v="1.28"/>
    <x v="33"/>
    <x v="2"/>
    <x v="0"/>
    <n v="23"/>
    <n v="3"/>
    <x v="2"/>
    <n v="1"/>
    <x v="31"/>
  </r>
  <r>
    <x v="22"/>
    <x v="33"/>
    <x v="2"/>
    <x v="25"/>
    <n v="147"/>
    <n v="51"/>
    <n v="1.52"/>
    <x v="34"/>
    <x v="0"/>
    <x v="1"/>
    <n v="23.2"/>
    <n v="2"/>
    <x v="2"/>
    <n v="1"/>
    <x v="32"/>
  </r>
  <r>
    <x v="23"/>
    <x v="11"/>
    <x v="24"/>
    <x v="26"/>
    <n v="156"/>
    <n v="56"/>
    <n v="1.2"/>
    <x v="35"/>
    <x v="1"/>
    <x v="0"/>
    <n v="25"/>
    <n v="2"/>
    <x v="2"/>
    <n v="2"/>
    <x v="9"/>
  </r>
  <r>
    <x v="24"/>
    <x v="34"/>
    <x v="25"/>
    <x v="16"/>
    <n v="147"/>
    <n v="52"/>
    <n v="0.92"/>
    <x v="36"/>
    <x v="0"/>
    <x v="1"/>
    <n v="21.2"/>
    <n v="2.4"/>
    <x v="1"/>
    <n v="2"/>
    <x v="33"/>
  </r>
  <r>
    <x v="25"/>
    <x v="35"/>
    <x v="26"/>
    <x v="1"/>
    <n v="125"/>
    <n v="74"/>
    <n v="1.56"/>
    <x v="37"/>
    <x v="0"/>
    <x v="1"/>
    <n v="25.1"/>
    <n v="2.7"/>
    <x v="1"/>
    <n v="1"/>
    <x v="34"/>
  </r>
  <r>
    <x v="26"/>
    <x v="36"/>
    <x v="27"/>
    <x v="27"/>
    <n v="162"/>
    <n v="63"/>
    <n v="0.89"/>
    <x v="38"/>
    <x v="1"/>
    <x v="0"/>
    <n v="22.6"/>
    <n v="2.5"/>
    <x v="2"/>
    <n v="2"/>
    <x v="9"/>
  </r>
  <r>
    <x v="7"/>
    <x v="37"/>
    <x v="9"/>
    <x v="16"/>
    <n v="154"/>
    <n v="73"/>
    <n v="1.18"/>
    <x v="39"/>
    <x v="0"/>
    <x v="1"/>
    <n v="27.4"/>
    <n v="2.6"/>
    <x v="3"/>
    <n v="2"/>
    <x v="35"/>
  </r>
  <r>
    <x v="7"/>
    <x v="38"/>
    <x v="19"/>
    <x v="28"/>
    <n v="148"/>
    <n v="52"/>
    <n v="0.92"/>
    <x v="40"/>
    <x v="0"/>
    <x v="0"/>
    <n v="28.3"/>
    <n v="3.4"/>
    <x v="1"/>
    <n v="3"/>
    <x v="36"/>
  </r>
  <r>
    <x v="19"/>
    <x v="39"/>
    <x v="28"/>
    <x v="0"/>
    <n v="155"/>
    <n v="68"/>
    <n v="0.74"/>
    <x v="41"/>
    <x v="3"/>
    <x v="1"/>
    <n v="17"/>
    <n v="2.2999999999999998"/>
    <x v="1"/>
    <n v="2"/>
    <x v="37"/>
  </r>
  <r>
    <x v="13"/>
    <x v="40"/>
    <x v="20"/>
    <x v="29"/>
    <n v="136"/>
    <n v="71"/>
    <n v="1.53"/>
    <x v="42"/>
    <x v="1"/>
    <x v="1"/>
    <n v="10"/>
    <n v="2.2999999999999998"/>
    <x v="0"/>
    <n v="3"/>
    <x v="38"/>
  </r>
  <r>
    <x v="12"/>
    <x v="41"/>
    <x v="3"/>
    <x v="30"/>
    <n v="168"/>
    <n v="66"/>
    <n v="1.4"/>
    <x v="43"/>
    <x v="4"/>
    <x v="0"/>
    <n v="25.4"/>
    <n v="3.6"/>
    <x v="1"/>
    <n v="1"/>
    <x v="39"/>
  </r>
  <r>
    <x v="7"/>
    <x v="42"/>
    <x v="29"/>
    <x v="28"/>
    <n v="162"/>
    <n v="73"/>
    <n v="2"/>
    <x v="44"/>
    <x v="4"/>
    <x v="0"/>
    <n v="22.5"/>
    <n v="1.5"/>
    <x v="1"/>
    <n v="2"/>
    <x v="40"/>
  </r>
  <r>
    <x v="27"/>
    <x v="43"/>
    <x v="30"/>
    <x v="11"/>
    <n v="150"/>
    <n v="52"/>
    <n v="1.04"/>
    <x v="45"/>
    <x v="1"/>
    <x v="2"/>
    <n v="27.4"/>
    <n v="3.2"/>
    <x v="4"/>
    <n v="3"/>
    <x v="41"/>
  </r>
  <r>
    <x v="28"/>
    <x v="21"/>
    <x v="22"/>
    <x v="30"/>
    <n v="148"/>
    <n v="68"/>
    <n v="1.27"/>
    <x v="46"/>
    <x v="1"/>
    <x v="0"/>
    <n v="34.799999999999997"/>
    <n v="2"/>
    <x v="0"/>
    <m/>
    <x v="42"/>
  </r>
  <r>
    <x v="29"/>
    <x v="44"/>
    <x v="31"/>
    <x v="8"/>
    <n v="125"/>
    <n v="72"/>
    <n v="1.91"/>
    <x v="47"/>
    <x v="2"/>
    <x v="0"/>
    <n v="26.1"/>
    <n v="2"/>
    <x v="2"/>
    <n v="1"/>
    <x v="9"/>
  </r>
  <r>
    <x v="20"/>
    <x v="45"/>
    <x v="11"/>
    <x v="23"/>
    <n v="145"/>
    <n v="52"/>
    <n v="2"/>
    <x v="48"/>
    <x v="1"/>
    <x v="0"/>
    <n v="23"/>
    <n v="2.7"/>
    <x v="3"/>
    <n v="3"/>
    <x v="43"/>
  </r>
  <r>
    <x v="24"/>
    <x v="46"/>
    <x v="0"/>
    <x v="4"/>
    <n v="156"/>
    <n v="62"/>
    <n v="1.1200000000000001"/>
    <x v="49"/>
    <x v="0"/>
    <x v="0"/>
    <n v="15.2"/>
    <n v="1.8"/>
    <x v="2"/>
    <n v="3"/>
    <x v="9"/>
  </r>
  <r>
    <x v="30"/>
    <x v="47"/>
    <x v="22"/>
    <x v="14"/>
    <n v="169"/>
    <n v="59"/>
    <n v="1.08"/>
    <x v="50"/>
    <x v="1"/>
    <x v="0"/>
    <n v="27.3"/>
    <n v="2.1"/>
    <x v="1"/>
    <n v="1"/>
    <x v="44"/>
  </r>
  <r>
    <x v="5"/>
    <x v="48"/>
    <x v="9"/>
    <x v="31"/>
    <n v="129"/>
    <n v="74"/>
    <n v="1.34"/>
    <x v="51"/>
    <x v="3"/>
    <x v="0"/>
    <n v="10.7"/>
    <n v="3.4"/>
    <x v="2"/>
    <n v="1"/>
    <x v="45"/>
  </r>
  <r>
    <x v="23"/>
    <x v="45"/>
    <x v="5"/>
    <x v="32"/>
    <n v="131"/>
    <n v="53"/>
    <n v="1.1399999999999999"/>
    <x v="52"/>
    <x v="2"/>
    <x v="1"/>
    <n v="28.5"/>
    <n v="3.3"/>
    <x v="1"/>
    <m/>
    <x v="46"/>
  </r>
  <r>
    <x v="28"/>
    <x v="49"/>
    <x v="26"/>
    <x v="22"/>
    <n v="120"/>
    <n v="72"/>
    <n v="1.1200000000000001"/>
    <x v="53"/>
    <x v="3"/>
    <x v="0"/>
    <n v="23.6"/>
    <n v="2.6"/>
    <x v="3"/>
    <n v="2"/>
    <x v="47"/>
  </r>
  <r>
    <x v="15"/>
    <x v="11"/>
    <x v="19"/>
    <x v="25"/>
    <n v="169"/>
    <n v="69"/>
    <n v="1.3"/>
    <x v="54"/>
    <x v="2"/>
    <x v="0"/>
    <n v="27.5"/>
    <n v="2.7"/>
    <x v="2"/>
    <n v="1"/>
    <x v="48"/>
  </r>
  <r>
    <x v="13"/>
    <x v="50"/>
    <x v="12"/>
    <x v="18"/>
    <n v="162"/>
    <n v="54"/>
    <n v="1.76"/>
    <x v="55"/>
    <x v="3"/>
    <x v="0"/>
    <n v="18"/>
    <n v="3.2"/>
    <x v="1"/>
    <n v="1"/>
    <x v="49"/>
  </r>
  <r>
    <x v="11"/>
    <x v="11"/>
    <x v="4"/>
    <x v="33"/>
    <n v="146"/>
    <n v="74"/>
    <n v="1.43"/>
    <x v="56"/>
    <x v="3"/>
    <x v="0"/>
    <n v="26"/>
    <n v="3.4"/>
    <x v="3"/>
    <n v="1"/>
    <x v="50"/>
  </r>
  <r>
    <x v="26"/>
    <x v="39"/>
    <x v="27"/>
    <x v="30"/>
    <n v="144"/>
    <n v="68"/>
    <n v="1.23"/>
    <x v="57"/>
    <x v="3"/>
    <x v="2"/>
    <n v="14.2"/>
    <n v="2.6"/>
    <x v="3"/>
    <n v="1"/>
    <x v="51"/>
  </r>
  <r>
    <x v="30"/>
    <x v="51"/>
    <x v="4"/>
    <x v="13"/>
    <n v="161"/>
    <n v="51"/>
    <n v="1.9"/>
    <x v="58"/>
    <x v="1"/>
    <x v="1"/>
    <n v="27.5"/>
    <n v="3.5"/>
    <x v="2"/>
    <m/>
    <x v="52"/>
  </r>
  <r>
    <x v="2"/>
    <x v="52"/>
    <x v="21"/>
    <x v="26"/>
    <n v="169"/>
    <n v="62"/>
    <n v="1.1399999999999999"/>
    <x v="59"/>
    <x v="3"/>
    <x v="0"/>
    <n v="31.4"/>
    <n v="3.6"/>
    <x v="2"/>
    <n v="1"/>
    <x v="53"/>
  </r>
  <r>
    <x v="21"/>
    <x v="53"/>
    <x v="7"/>
    <x v="34"/>
    <n v="156"/>
    <n v="51"/>
    <n v="1.1100000000000001"/>
    <x v="60"/>
    <x v="0"/>
    <x v="0"/>
    <n v="27.1"/>
    <n v="3.2"/>
    <x v="1"/>
    <n v="2"/>
    <x v="54"/>
  </r>
  <r>
    <x v="5"/>
    <x v="11"/>
    <x v="30"/>
    <x v="29"/>
    <n v="156"/>
    <n v="74"/>
    <n v="1.04"/>
    <x v="61"/>
    <x v="1"/>
    <x v="0"/>
    <n v="28.1"/>
    <n v="1.8"/>
    <x v="1"/>
    <n v="3"/>
    <x v="9"/>
  </r>
  <r>
    <x v="31"/>
    <x v="54"/>
    <x v="16"/>
    <x v="31"/>
    <n v="153"/>
    <n v="74"/>
    <n v="1.41"/>
    <x v="62"/>
    <x v="0"/>
    <x v="0"/>
    <n v="29.5"/>
    <n v="2.6"/>
    <x v="3"/>
    <n v="1"/>
    <x v="55"/>
  </r>
  <r>
    <x v="7"/>
    <x v="11"/>
    <x v="32"/>
    <x v="3"/>
    <n v="134"/>
    <n v="53"/>
    <n v="0.98"/>
    <x v="63"/>
    <x v="5"/>
    <x v="1"/>
    <n v="25.6"/>
    <n v="2.1"/>
    <x v="1"/>
    <n v="3"/>
    <x v="56"/>
  </r>
  <r>
    <x v="17"/>
    <x v="55"/>
    <x v="20"/>
    <x v="35"/>
    <n v="137"/>
    <n v="55"/>
    <n v="1.98"/>
    <x v="64"/>
    <x v="6"/>
    <x v="1"/>
    <n v="24"/>
    <n v="2.9"/>
    <x v="2"/>
    <n v="2"/>
    <x v="57"/>
  </r>
  <r>
    <x v="20"/>
    <x v="56"/>
    <x v="26"/>
    <x v="24"/>
    <n v="128"/>
    <n v="61"/>
    <n v="1.92"/>
    <x v="20"/>
    <x v="0"/>
    <x v="1"/>
    <n v="15"/>
    <n v="2.5"/>
    <x v="2"/>
    <n v="2"/>
    <x v="58"/>
  </r>
  <r>
    <x v="31"/>
    <x v="57"/>
    <x v="31"/>
    <x v="18"/>
    <n v="125"/>
    <n v="72"/>
    <n v="0.95"/>
    <x v="65"/>
    <x v="0"/>
    <x v="0"/>
    <n v="21.7"/>
    <n v="2.2999999999999998"/>
    <x v="0"/>
    <n v="1"/>
    <x v="59"/>
  </r>
  <r>
    <x v="32"/>
    <x v="58"/>
    <x v="21"/>
    <x v="10"/>
    <n v="151"/>
    <n v="56"/>
    <n v="1.39"/>
    <x v="66"/>
    <x v="1"/>
    <x v="1"/>
    <n v="13.3"/>
    <n v="3.5"/>
    <x v="3"/>
    <n v="3"/>
    <x v="60"/>
  </r>
  <r>
    <x v="7"/>
    <x v="59"/>
    <x v="33"/>
    <x v="11"/>
    <n v="165"/>
    <n v="56"/>
    <n v="0.74"/>
    <x v="67"/>
    <x v="2"/>
    <x v="1"/>
    <n v="26.1"/>
    <n v="3.3"/>
    <x v="1"/>
    <n v="3"/>
    <x v="9"/>
  </r>
  <r>
    <x v="9"/>
    <x v="11"/>
    <x v="5"/>
    <x v="3"/>
    <n v="132"/>
    <n v="58"/>
    <n v="1.29"/>
    <x v="68"/>
    <x v="0"/>
    <x v="0"/>
    <n v="31.1"/>
    <n v="2.5"/>
    <x v="4"/>
    <n v="2"/>
    <x v="2"/>
  </r>
  <r>
    <x v="20"/>
    <x v="60"/>
    <x v="25"/>
    <x v="22"/>
    <n v="159"/>
    <n v="70"/>
    <n v="1.1599999999999999"/>
    <x v="69"/>
    <x v="1"/>
    <x v="1"/>
    <n v="32.1"/>
    <n v="3.1"/>
    <x v="1"/>
    <n v="1"/>
    <x v="9"/>
  </r>
  <r>
    <x v="0"/>
    <x v="61"/>
    <x v="34"/>
    <x v="5"/>
    <m/>
    <n v="59"/>
    <n v="1.59"/>
    <x v="70"/>
    <x v="2"/>
    <x v="0"/>
    <n v="22.2"/>
    <n v="1.6"/>
    <x v="1"/>
    <n v="1"/>
    <x v="61"/>
  </r>
  <r>
    <x v="33"/>
    <x v="62"/>
    <x v="18"/>
    <x v="36"/>
    <n v="159"/>
    <n v="69"/>
    <n v="1.23"/>
    <x v="71"/>
    <x v="6"/>
    <x v="1"/>
    <n v="35"/>
    <n v="3.3"/>
    <x v="1"/>
    <n v="3"/>
    <x v="62"/>
  </r>
  <r>
    <x v="34"/>
    <x v="63"/>
    <x v="2"/>
    <x v="29"/>
    <n v="150"/>
    <n v="58"/>
    <n v="1.1599999999999999"/>
    <x v="72"/>
    <x v="1"/>
    <x v="0"/>
    <n v="29.2"/>
    <n v="2.5"/>
    <x v="2"/>
    <n v="2"/>
    <x v="63"/>
  </r>
  <r>
    <x v="7"/>
    <x v="64"/>
    <x v="16"/>
    <x v="19"/>
    <n v="131"/>
    <n v="57"/>
    <n v="1.28"/>
    <x v="73"/>
    <x v="1"/>
    <x v="0"/>
    <n v="20.7"/>
    <n v="3.5"/>
    <x v="2"/>
    <n v="2"/>
    <x v="64"/>
  </r>
  <r>
    <x v="35"/>
    <x v="65"/>
    <x v="35"/>
    <x v="36"/>
    <n v="137"/>
    <n v="72"/>
    <n v="1.23"/>
    <x v="74"/>
    <x v="4"/>
    <x v="0"/>
    <n v="16.399999999999999"/>
    <n v="2.2999999999999998"/>
    <x v="1"/>
    <n v="2"/>
    <x v="65"/>
  </r>
  <r>
    <x v="30"/>
    <x v="66"/>
    <x v="18"/>
    <x v="29"/>
    <n v="120"/>
    <n v="70"/>
    <n v="0.78"/>
    <x v="75"/>
    <x v="0"/>
    <x v="1"/>
    <n v="22.6"/>
    <n v="1.7"/>
    <x v="0"/>
    <n v="1"/>
    <x v="66"/>
  </r>
  <r>
    <x v="1"/>
    <x v="67"/>
    <x v="28"/>
    <x v="21"/>
    <n v="169"/>
    <n v="68"/>
    <n v="1.91"/>
    <x v="76"/>
    <x v="0"/>
    <x v="0"/>
    <n v="18.100000000000001"/>
    <n v="3.7"/>
    <x v="3"/>
    <n v="2"/>
    <x v="67"/>
  </r>
  <r>
    <x v="7"/>
    <x v="68"/>
    <x v="27"/>
    <x v="3"/>
    <n v="169"/>
    <n v="72"/>
    <n v="1.07"/>
    <x v="77"/>
    <x v="4"/>
    <x v="2"/>
    <n v="26.2"/>
    <n v="1.6"/>
    <x v="2"/>
    <n v="3"/>
    <x v="68"/>
  </r>
  <r>
    <x v="36"/>
    <x v="69"/>
    <x v="28"/>
    <x v="29"/>
    <n v="141"/>
    <n v="54"/>
    <n v="2"/>
    <x v="78"/>
    <x v="3"/>
    <x v="1"/>
    <n v="32.9"/>
    <n v="2.2999999999999998"/>
    <x v="3"/>
    <n v="3"/>
    <x v="69"/>
  </r>
  <r>
    <x v="1"/>
    <x v="70"/>
    <x v="36"/>
    <x v="33"/>
    <n v="142"/>
    <n v="68"/>
    <n v="2"/>
    <x v="79"/>
    <x v="0"/>
    <x v="2"/>
    <n v="18.899999999999999"/>
    <n v="3.2"/>
    <x v="2"/>
    <n v="1"/>
    <x v="9"/>
  </r>
  <r>
    <x v="37"/>
    <x v="71"/>
    <x v="19"/>
    <x v="1"/>
    <n v="146"/>
    <n v="58"/>
    <n v="1.62"/>
    <x v="80"/>
    <x v="2"/>
    <x v="1"/>
    <n v="31.2"/>
    <n v="2.6"/>
    <x v="1"/>
    <n v="1"/>
    <x v="70"/>
  </r>
  <r>
    <x v="26"/>
    <x v="72"/>
    <x v="21"/>
    <x v="21"/>
    <n v="169"/>
    <n v="59"/>
    <n v="1.54"/>
    <x v="81"/>
    <x v="1"/>
    <x v="1"/>
    <n v="30.9"/>
    <n v="1.9"/>
    <x v="3"/>
    <m/>
    <x v="71"/>
  </r>
  <r>
    <x v="36"/>
    <x v="73"/>
    <x v="37"/>
    <x v="31"/>
    <n v="144"/>
    <n v="68"/>
    <n v="0.87"/>
    <x v="82"/>
    <x v="2"/>
    <x v="0"/>
    <n v="10"/>
    <n v="3.6"/>
    <x v="2"/>
    <n v="3"/>
    <x v="72"/>
  </r>
  <r>
    <x v="38"/>
    <x v="48"/>
    <x v="38"/>
    <x v="37"/>
    <n v="158"/>
    <m/>
    <n v="1.56"/>
    <x v="83"/>
    <x v="0"/>
    <x v="0"/>
    <n v="23.7"/>
    <n v="3.6"/>
    <x v="2"/>
    <n v="1"/>
    <x v="9"/>
  </r>
  <r>
    <x v="2"/>
    <x v="34"/>
    <x v="17"/>
    <x v="28"/>
    <n v="142"/>
    <n v="61"/>
    <n v="1.23"/>
    <x v="84"/>
    <x v="0"/>
    <x v="0"/>
    <n v="28.8"/>
    <n v="2.2999999999999998"/>
    <x v="1"/>
    <n v="3"/>
    <x v="73"/>
  </r>
  <r>
    <x v="21"/>
    <x v="74"/>
    <x v="39"/>
    <x v="5"/>
    <n v="127"/>
    <n v="54"/>
    <n v="1.02"/>
    <x v="85"/>
    <x v="4"/>
    <x v="1"/>
    <n v="26.2"/>
    <n v="3.4"/>
    <x v="1"/>
    <m/>
    <x v="74"/>
  </r>
  <r>
    <x v="8"/>
    <x v="75"/>
    <x v="15"/>
    <x v="29"/>
    <n v="136"/>
    <n v="69"/>
    <n v="1.42"/>
    <x v="86"/>
    <x v="3"/>
    <x v="0"/>
    <n v="24.3"/>
    <n v="3.2"/>
    <x v="1"/>
    <n v="2"/>
    <x v="75"/>
  </r>
  <r>
    <x v="35"/>
    <x v="11"/>
    <x v="16"/>
    <x v="10"/>
    <n v="148"/>
    <n v="65"/>
    <n v="1.03"/>
    <x v="6"/>
    <x v="3"/>
    <x v="1"/>
    <n v="11.6"/>
    <n v="1.9"/>
    <x v="0"/>
    <n v="1"/>
    <x v="76"/>
  </r>
  <r>
    <x v="35"/>
    <x v="76"/>
    <x v="40"/>
    <x v="7"/>
    <n v="155"/>
    <n v="61"/>
    <n v="1.18"/>
    <x v="87"/>
    <x v="2"/>
    <x v="0"/>
    <n v="21.2"/>
    <n v="3.4"/>
    <x v="2"/>
    <n v="1"/>
    <x v="77"/>
  </r>
  <r>
    <x v="39"/>
    <x v="77"/>
    <x v="26"/>
    <x v="38"/>
    <n v="169"/>
    <n v="67"/>
    <n v="1.46"/>
    <x v="88"/>
    <x v="2"/>
    <x v="0"/>
    <n v="20.8"/>
    <n v="3.4"/>
    <x v="2"/>
    <n v="2"/>
    <x v="78"/>
  </r>
  <r>
    <x v="21"/>
    <x v="31"/>
    <x v="30"/>
    <x v="12"/>
    <n v="154"/>
    <n v="74"/>
    <n v="1.5"/>
    <x v="89"/>
    <x v="3"/>
    <x v="1"/>
    <n v="10"/>
    <n v="2.4"/>
    <x v="2"/>
    <n v="1"/>
    <x v="9"/>
  </r>
  <r>
    <x v="1"/>
    <x v="78"/>
    <x v="25"/>
    <x v="20"/>
    <n v="138"/>
    <n v="52"/>
    <n v="1.26"/>
    <x v="90"/>
    <x v="3"/>
    <x v="1"/>
    <n v="19.3"/>
    <n v="3.6"/>
    <x v="1"/>
    <n v="3"/>
    <x v="79"/>
  </r>
  <r>
    <x v="27"/>
    <x v="79"/>
    <x v="1"/>
    <x v="34"/>
    <n v="152"/>
    <n v="58"/>
    <n v="1.58"/>
    <x v="91"/>
    <x v="1"/>
    <x v="0"/>
    <n v="34.4"/>
    <n v="3.3"/>
    <x v="2"/>
    <n v="2"/>
    <x v="80"/>
  </r>
  <r>
    <x v="17"/>
    <x v="80"/>
    <x v="6"/>
    <x v="29"/>
    <n v="169"/>
    <n v="58"/>
    <n v="1.47"/>
    <x v="92"/>
    <x v="1"/>
    <x v="1"/>
    <n v="24.7"/>
    <n v="2.5"/>
    <x v="0"/>
    <n v="2"/>
    <x v="9"/>
  </r>
  <r>
    <x v="2"/>
    <x v="41"/>
    <x v="2"/>
    <x v="17"/>
    <n v="144"/>
    <n v="53"/>
    <n v="2"/>
    <x v="93"/>
    <x v="6"/>
    <x v="1"/>
    <n v="26.6"/>
    <n v="3.7"/>
    <x v="2"/>
    <n v="2"/>
    <x v="81"/>
  </r>
  <r>
    <x v="16"/>
    <x v="81"/>
    <x v="41"/>
    <x v="25"/>
    <n v="144"/>
    <n v="61"/>
    <n v="1.56"/>
    <x v="94"/>
    <x v="0"/>
    <x v="1"/>
    <n v="24.8"/>
    <n v="2.4"/>
    <x v="1"/>
    <n v="2"/>
    <x v="82"/>
  </r>
  <r>
    <x v="18"/>
    <x v="49"/>
    <x v="42"/>
    <x v="38"/>
    <n v="123"/>
    <n v="65"/>
    <n v="1.25"/>
    <x v="95"/>
    <x v="2"/>
    <x v="1"/>
    <n v="14.7"/>
    <n v="3.5"/>
    <x v="2"/>
    <n v="3"/>
    <x v="83"/>
  </r>
  <r>
    <x v="27"/>
    <x v="82"/>
    <x v="22"/>
    <x v="12"/>
    <n v="132"/>
    <n v="50"/>
    <n v="1.19"/>
    <x v="96"/>
    <x v="0"/>
    <x v="0"/>
    <n v="23"/>
    <m/>
    <x v="1"/>
    <n v="3"/>
    <x v="84"/>
  </r>
  <r>
    <x v="36"/>
    <x v="83"/>
    <x v="21"/>
    <x v="38"/>
    <n v="169"/>
    <n v="74"/>
    <n v="1.49"/>
    <x v="97"/>
    <x v="2"/>
    <x v="0"/>
    <n v="29.2"/>
    <n v="3.7"/>
    <x v="0"/>
    <n v="3"/>
    <x v="85"/>
  </r>
  <r>
    <x v="12"/>
    <x v="60"/>
    <x v="42"/>
    <x v="15"/>
    <n v="136"/>
    <n v="74"/>
    <n v="2"/>
    <x v="90"/>
    <x v="2"/>
    <x v="0"/>
    <n v="20.399999999999999"/>
    <n v="1.5"/>
    <x v="0"/>
    <n v="2"/>
    <x v="86"/>
  </r>
  <r>
    <x v="19"/>
    <x v="84"/>
    <x v="4"/>
    <x v="39"/>
    <n v="142"/>
    <n v="52"/>
    <n v="1.45"/>
    <x v="98"/>
    <x v="0"/>
    <x v="1"/>
    <n v="22"/>
    <n v="2.6"/>
    <x v="3"/>
    <n v="1"/>
    <x v="87"/>
  </r>
  <r>
    <x v="31"/>
    <x v="85"/>
    <x v="8"/>
    <x v="7"/>
    <n v="126"/>
    <n v="56"/>
    <n v="1.27"/>
    <x v="99"/>
    <x v="1"/>
    <x v="1"/>
    <n v="29.1"/>
    <n v="3.7"/>
    <x v="2"/>
    <n v="2"/>
    <x v="88"/>
  </r>
  <r>
    <x v="26"/>
    <x v="86"/>
    <x v="27"/>
    <x v="13"/>
    <n v="143"/>
    <n v="56"/>
    <n v="1.37"/>
    <x v="100"/>
    <x v="0"/>
    <x v="0"/>
    <n v="17.7"/>
    <n v="2.7"/>
    <x v="1"/>
    <n v="3"/>
    <x v="89"/>
  </r>
  <r>
    <x v="18"/>
    <x v="87"/>
    <x v="6"/>
    <x v="2"/>
    <n v="129"/>
    <m/>
    <n v="1.19"/>
    <x v="101"/>
    <x v="2"/>
    <x v="1"/>
    <n v="30.5"/>
    <n v="1.9"/>
    <x v="2"/>
    <n v="2"/>
    <x v="90"/>
  </r>
  <r>
    <x v="3"/>
    <x v="88"/>
    <x v="43"/>
    <x v="33"/>
    <n v="169"/>
    <n v="68"/>
    <n v="1.47"/>
    <x v="102"/>
    <x v="1"/>
    <x v="2"/>
    <n v="19.600000000000001"/>
    <n v="3.1"/>
    <x v="2"/>
    <n v="2"/>
    <x v="91"/>
  </r>
  <r>
    <x v="28"/>
    <x v="31"/>
    <x v="24"/>
    <x v="38"/>
    <n v="159"/>
    <n v="53"/>
    <n v="1.3"/>
    <x v="103"/>
    <x v="2"/>
    <x v="1"/>
    <n v="26.5"/>
    <n v="1.5"/>
    <x v="2"/>
    <n v="2"/>
    <x v="92"/>
  </r>
  <r>
    <x v="40"/>
    <x v="12"/>
    <x v="24"/>
    <x v="34"/>
    <n v="152"/>
    <n v="53"/>
    <n v="1.37"/>
    <x v="104"/>
    <x v="1"/>
    <x v="1"/>
    <n v="24.7"/>
    <n v="2.6"/>
    <x v="0"/>
    <n v="2"/>
    <x v="93"/>
  </r>
  <r>
    <x v="3"/>
    <x v="89"/>
    <x v="2"/>
    <x v="2"/>
    <n v="162"/>
    <n v="63"/>
    <n v="1.35"/>
    <x v="23"/>
    <x v="0"/>
    <x v="0"/>
    <n v="25.7"/>
    <n v="3.6"/>
    <x v="2"/>
    <n v="1"/>
    <x v="94"/>
  </r>
  <r>
    <x v="7"/>
    <x v="90"/>
    <x v="3"/>
    <x v="25"/>
    <n v="168"/>
    <n v="58"/>
    <n v="1.9"/>
    <x v="105"/>
    <x v="2"/>
    <x v="0"/>
    <n v="31.4"/>
    <n v="3.7"/>
    <x v="0"/>
    <n v="2"/>
    <x v="95"/>
  </r>
  <r>
    <x v="7"/>
    <x v="33"/>
    <x v="16"/>
    <x v="22"/>
    <n v="137"/>
    <n v="66"/>
    <n v="1.2"/>
    <x v="106"/>
    <x v="3"/>
    <x v="1"/>
    <n v="12.9"/>
    <n v="3.7"/>
    <x v="1"/>
    <n v="2"/>
    <x v="96"/>
  </r>
  <r>
    <x v="36"/>
    <x v="91"/>
    <x v="15"/>
    <x v="18"/>
    <n v="148"/>
    <n v="50"/>
    <n v="1.38"/>
    <x v="107"/>
    <x v="0"/>
    <x v="1"/>
    <n v="30.2"/>
    <n v="2.5"/>
    <x v="1"/>
    <m/>
    <x v="97"/>
  </r>
  <r>
    <x v="2"/>
    <x v="92"/>
    <x v="12"/>
    <x v="33"/>
    <n v="144"/>
    <n v="71"/>
    <n v="1.1000000000000001"/>
    <x v="108"/>
    <x v="0"/>
    <x v="0"/>
    <n v="22.8"/>
    <n v="2.6"/>
    <x v="1"/>
    <n v="1"/>
    <x v="98"/>
  </r>
  <r>
    <x v="21"/>
    <x v="93"/>
    <x v="2"/>
    <x v="14"/>
    <n v="136"/>
    <n v="58"/>
    <n v="1.44"/>
    <x v="109"/>
    <x v="2"/>
    <x v="1"/>
    <n v="23.8"/>
    <n v="1.5"/>
    <x v="1"/>
    <n v="2"/>
    <x v="99"/>
  </r>
  <r>
    <x v="36"/>
    <x v="94"/>
    <x v="4"/>
    <x v="22"/>
    <n v="165"/>
    <n v="67"/>
    <n v="1.58"/>
    <x v="78"/>
    <x v="0"/>
    <x v="0"/>
    <n v="20.9"/>
    <n v="3.3"/>
    <x v="2"/>
    <n v="1"/>
    <x v="78"/>
  </r>
  <r>
    <x v="32"/>
    <x v="95"/>
    <x v="44"/>
    <x v="28"/>
    <n v="164"/>
    <n v="74"/>
    <n v="1.87"/>
    <x v="110"/>
    <x v="2"/>
    <x v="1"/>
    <n v="23.7"/>
    <n v="3.5"/>
    <x v="0"/>
    <n v="2"/>
    <x v="100"/>
  </r>
  <r>
    <x v="21"/>
    <x v="59"/>
    <x v="26"/>
    <x v="21"/>
    <n v="136"/>
    <n v="51"/>
    <n v="0.57999999999999996"/>
    <x v="111"/>
    <x v="3"/>
    <x v="0"/>
    <n v="28.4"/>
    <n v="3"/>
    <x v="2"/>
    <n v="1"/>
    <x v="101"/>
  </r>
  <r>
    <x v="7"/>
    <x v="33"/>
    <x v="37"/>
    <x v="10"/>
    <n v="154"/>
    <n v="72"/>
    <n v="1.58"/>
    <x v="112"/>
    <x v="0"/>
    <x v="1"/>
    <n v="18.100000000000001"/>
    <n v="2.2999999999999998"/>
    <x v="1"/>
    <n v="1"/>
    <x v="102"/>
  </r>
  <r>
    <x v="7"/>
    <x v="96"/>
    <x v="26"/>
    <x v="2"/>
    <n v="149"/>
    <n v="74"/>
    <n v="1.64"/>
    <x v="113"/>
    <x v="2"/>
    <x v="1"/>
    <n v="17.7"/>
    <n v="2.4"/>
    <x v="1"/>
    <n v="1"/>
    <x v="25"/>
  </r>
  <r>
    <x v="31"/>
    <x v="97"/>
    <x v="15"/>
    <x v="34"/>
    <n v="120"/>
    <n v="74"/>
    <n v="1.44"/>
    <x v="114"/>
    <x v="4"/>
    <x v="0"/>
    <n v="25.4"/>
    <n v="2.6"/>
    <x v="1"/>
    <n v="3"/>
    <x v="1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34"/>
    <x v="0"/>
    <x v="0"/>
    <x v="0"/>
    <n v="152"/>
    <n v="74"/>
    <n v="1.1200000000000001"/>
    <x v="0"/>
    <x v="0"/>
    <x v="0"/>
    <x v="0"/>
    <n v="2.4"/>
    <n v="5"/>
    <n v="2"/>
    <x v="0"/>
  </r>
  <r>
    <n v="26"/>
    <x v="1"/>
    <x v="1"/>
    <x v="1"/>
    <n v="156"/>
    <n v="73"/>
    <n v="1"/>
    <x v="1"/>
    <x v="0"/>
    <x v="0"/>
    <x v="1"/>
    <n v="2.8"/>
    <n v="5"/>
    <n v="2"/>
    <x v="1"/>
  </r>
  <r>
    <n v="22"/>
    <x v="2"/>
    <x v="2"/>
    <x v="2"/>
    <n v="166"/>
    <n v="64"/>
    <n v="1.24"/>
    <x v="2"/>
    <x v="1"/>
    <x v="1"/>
    <x v="2"/>
    <n v="1.9"/>
    <n v="3"/>
    <n v="2"/>
    <x v="2"/>
  </r>
  <r>
    <n v="54"/>
    <x v="3"/>
    <x v="3"/>
    <x v="2"/>
    <n v="169"/>
    <n v="58"/>
    <n v="1.45"/>
    <x v="3"/>
    <x v="1"/>
    <x v="0"/>
    <x v="3"/>
    <n v="2.4"/>
    <n v="4"/>
    <n v="1"/>
    <x v="3"/>
  </r>
  <r>
    <n v="34"/>
    <x v="4"/>
    <x v="4"/>
    <x v="3"/>
    <n v="169"/>
    <n v="66"/>
    <n v="1.6"/>
    <x v="4"/>
    <x v="0"/>
    <x v="0"/>
    <x v="4"/>
    <n v="3.2"/>
    <n v="4"/>
    <n v="2"/>
    <x v="4"/>
  </r>
  <r>
    <n v="38"/>
    <x v="5"/>
    <x v="5"/>
    <x v="4"/>
    <n v="128"/>
    <n v="74"/>
    <n v="1.62"/>
    <x v="5"/>
    <x v="2"/>
    <x v="0"/>
    <x v="5"/>
    <n v="2.5"/>
    <n v="2"/>
    <n v="2"/>
    <x v="5"/>
  </r>
  <r>
    <n v="44"/>
    <x v="6"/>
    <x v="6"/>
    <x v="5"/>
    <n v="142"/>
    <n v="74"/>
    <n v="1.46"/>
    <x v="6"/>
    <x v="1"/>
    <x v="0"/>
    <x v="6"/>
    <n v="3.7"/>
    <n v="2"/>
    <n v="2"/>
    <x v="6"/>
  </r>
  <r>
    <n v="50"/>
    <x v="7"/>
    <x v="7"/>
    <x v="6"/>
    <n v="136"/>
    <n v="63"/>
    <n v="1.63"/>
    <x v="7"/>
    <x v="0"/>
    <x v="0"/>
    <x v="7"/>
    <n v="1.8"/>
    <n v="4"/>
    <n v="2"/>
    <x v="7"/>
  </r>
  <r>
    <n v="18"/>
    <x v="8"/>
    <x v="8"/>
    <x v="0"/>
    <n v="169"/>
    <n v="64"/>
    <n v="0.77"/>
    <x v="8"/>
    <x v="2"/>
    <x v="0"/>
    <x v="8"/>
    <n v="2.2000000000000002"/>
    <n v="3"/>
    <n v="1"/>
    <x v="8"/>
  </r>
  <r>
    <n v="34"/>
    <x v="9"/>
    <x v="4"/>
    <x v="7"/>
    <n v="169"/>
    <n v="73"/>
    <n v="2"/>
    <x v="9"/>
    <x v="3"/>
    <x v="0"/>
    <x v="9"/>
    <n v="3.2"/>
    <n v="5"/>
    <n v="2"/>
    <x v="9"/>
  </r>
  <r>
    <n v="39"/>
    <x v="10"/>
    <x v="9"/>
    <x v="6"/>
    <n v="155"/>
    <n v="55"/>
    <n v="1.89"/>
    <x v="10"/>
    <x v="3"/>
    <x v="0"/>
    <x v="10"/>
    <n v="2.2999999999999998"/>
    <n v="3"/>
    <n v="3"/>
    <x v="10"/>
  </r>
  <r>
    <n v="46"/>
    <x v="11"/>
    <x v="10"/>
    <x v="8"/>
    <n v="131"/>
    <n v="69"/>
    <n v="2"/>
    <x v="11"/>
    <x v="3"/>
    <x v="1"/>
    <x v="11"/>
    <n v="2.4"/>
    <n v="2"/>
    <n v="2"/>
    <x v="9"/>
  </r>
  <r>
    <n v="19"/>
    <x v="12"/>
    <x v="11"/>
    <x v="9"/>
    <n v="145"/>
    <n v="50"/>
    <n v="1.61"/>
    <x v="12"/>
    <x v="0"/>
    <x v="1"/>
    <x v="12"/>
    <n v="2.2999999999999998"/>
    <n v="3"/>
    <n v="2"/>
    <x v="11"/>
  </r>
  <r>
    <n v="56"/>
    <x v="13"/>
    <x v="12"/>
    <x v="10"/>
    <n v="141"/>
    <n v="71"/>
    <n v="0.65"/>
    <x v="13"/>
    <x v="2"/>
    <x v="0"/>
    <x v="13"/>
    <n v="3"/>
    <n v="2"/>
    <n v="3"/>
    <x v="12"/>
  </r>
  <r>
    <n v="19"/>
    <x v="14"/>
    <x v="13"/>
    <x v="11"/>
    <n v="148"/>
    <n v="74"/>
    <n v="1.1499999999999999"/>
    <x v="14"/>
    <x v="1"/>
    <x v="0"/>
    <x v="14"/>
    <n v="2.7"/>
    <n v="4"/>
    <n v="2"/>
    <x v="13"/>
  </r>
  <r>
    <n v="30"/>
    <x v="15"/>
    <x v="14"/>
    <x v="4"/>
    <n v="125"/>
    <n v="52"/>
    <n v="1.03"/>
    <x v="15"/>
    <x v="3"/>
    <x v="0"/>
    <x v="15"/>
    <n v="3.5"/>
    <n v="4"/>
    <n v="2"/>
    <x v="14"/>
  </r>
  <r>
    <n v="23"/>
    <x v="16"/>
    <x v="15"/>
    <x v="7"/>
    <n v="141"/>
    <n v="55"/>
    <n v="1.45"/>
    <x v="16"/>
    <x v="2"/>
    <x v="1"/>
    <x v="16"/>
    <n v="3.2"/>
    <n v="4"/>
    <n v="1"/>
    <x v="15"/>
  </r>
  <r>
    <n v="39"/>
    <x v="17"/>
    <x v="16"/>
    <x v="12"/>
    <n v="124"/>
    <n v="74"/>
    <n v="0.69"/>
    <x v="17"/>
    <x v="1"/>
    <x v="0"/>
    <x v="17"/>
    <n v="2.1"/>
    <n v="5"/>
    <n v="1"/>
    <x v="0"/>
  </r>
  <r>
    <n v="54"/>
    <x v="18"/>
    <x v="17"/>
    <x v="6"/>
    <n v="128"/>
    <n v="74"/>
    <n v="1.5"/>
    <x v="18"/>
    <x v="3"/>
    <x v="0"/>
    <x v="18"/>
    <n v="1.5"/>
    <n v="3"/>
    <n v="1"/>
    <x v="16"/>
  </r>
  <r>
    <m/>
    <x v="19"/>
    <x v="18"/>
    <x v="13"/>
    <n v="169"/>
    <n v="71"/>
    <n v="1.3"/>
    <x v="19"/>
    <x v="1"/>
    <x v="1"/>
    <x v="19"/>
    <n v="2.2999999999999998"/>
    <n v="3"/>
    <n v="2"/>
    <x v="17"/>
  </r>
  <r>
    <n v="26"/>
    <x v="20"/>
    <x v="19"/>
    <x v="14"/>
    <n v="136"/>
    <n v="74"/>
    <n v="1.27"/>
    <x v="20"/>
    <x v="3"/>
    <x v="1"/>
    <x v="20"/>
    <n v="1.8"/>
    <n v="5"/>
    <n v="1"/>
    <x v="18"/>
  </r>
  <r>
    <n v="22"/>
    <x v="21"/>
    <x v="20"/>
    <x v="15"/>
    <n v="156"/>
    <n v="55"/>
    <n v="1.44"/>
    <x v="21"/>
    <x v="2"/>
    <x v="0"/>
    <x v="21"/>
    <n v="1.6"/>
    <n v="4"/>
    <n v="3"/>
    <x v="19"/>
  </r>
  <r>
    <n v="36"/>
    <x v="22"/>
    <x v="9"/>
    <x v="16"/>
    <n v="130"/>
    <n v="74"/>
    <n v="1.38"/>
    <x v="22"/>
    <x v="3"/>
    <x v="0"/>
    <x v="22"/>
    <n v="2.1"/>
    <m/>
    <n v="1"/>
    <x v="20"/>
  </r>
  <r>
    <n v="18"/>
    <x v="23"/>
    <x v="20"/>
    <x v="3"/>
    <n v="145"/>
    <n v="71"/>
    <m/>
    <x v="23"/>
    <x v="0"/>
    <x v="1"/>
    <x v="23"/>
    <n v="1.7"/>
    <n v="5"/>
    <n v="1"/>
    <x v="21"/>
  </r>
  <r>
    <n v="25"/>
    <x v="24"/>
    <x v="3"/>
    <x v="13"/>
    <n v="140"/>
    <n v="74"/>
    <n v="1.1499999999999999"/>
    <x v="24"/>
    <x v="0"/>
    <x v="1"/>
    <x v="24"/>
    <n v="2.6"/>
    <n v="4"/>
    <n v="2"/>
    <x v="22"/>
  </r>
  <r>
    <n v="59"/>
    <x v="25"/>
    <x v="20"/>
    <x v="17"/>
    <n v="152"/>
    <n v="74"/>
    <n v="1.94"/>
    <x v="25"/>
    <x v="3"/>
    <x v="1"/>
    <x v="25"/>
    <n v="3.3"/>
    <n v="3"/>
    <n v="1"/>
    <x v="23"/>
  </r>
  <r>
    <n v="18"/>
    <x v="26"/>
    <x v="19"/>
    <x v="3"/>
    <n v="165"/>
    <n v="55"/>
    <n v="1.56"/>
    <x v="26"/>
    <x v="2"/>
    <x v="1"/>
    <x v="26"/>
    <n v="1.7"/>
    <n v="2"/>
    <n v="2"/>
    <x v="24"/>
  </r>
  <r>
    <n v="18"/>
    <x v="11"/>
    <x v="21"/>
    <x v="18"/>
    <n v="155"/>
    <n v="74"/>
    <n v="1.51"/>
    <x v="27"/>
    <x v="1"/>
    <x v="1"/>
    <x v="4"/>
    <n v="2.5"/>
    <n v="2"/>
    <m/>
    <x v="25"/>
  </r>
  <r>
    <n v="25"/>
    <x v="27"/>
    <x v="22"/>
    <x v="19"/>
    <n v="169"/>
    <n v="67"/>
    <n v="1.28"/>
    <x v="28"/>
    <x v="1"/>
    <x v="0"/>
    <x v="27"/>
    <n v="3.2"/>
    <n v="2"/>
    <n v="3"/>
    <x v="26"/>
  </r>
  <r>
    <n v="32"/>
    <x v="28"/>
    <x v="4"/>
    <x v="20"/>
    <n v="127"/>
    <n v="60"/>
    <n v="1.4"/>
    <x v="29"/>
    <x v="3"/>
    <x v="1"/>
    <x v="28"/>
    <n v="1.6"/>
    <n v="2"/>
    <n v="1"/>
    <x v="27"/>
  </r>
  <r>
    <n v="28"/>
    <x v="29"/>
    <x v="17"/>
    <x v="21"/>
    <n v="141"/>
    <n v="55"/>
    <n v="2"/>
    <x v="30"/>
    <x v="1"/>
    <x v="1"/>
    <x v="29"/>
    <n v="3.6"/>
    <n v="3"/>
    <n v="1"/>
    <x v="28"/>
  </r>
  <r>
    <n v="27"/>
    <x v="30"/>
    <x v="22"/>
    <x v="22"/>
    <n v="127"/>
    <n v="66"/>
    <n v="1.61"/>
    <x v="31"/>
    <x v="3"/>
    <x v="0"/>
    <x v="30"/>
    <n v="3.1"/>
    <n v="3"/>
    <n v="1"/>
    <x v="29"/>
  </r>
  <r>
    <n v="44"/>
    <x v="31"/>
    <x v="23"/>
    <x v="23"/>
    <n v="158"/>
    <n v="50"/>
    <n v="0.7"/>
    <x v="32"/>
    <x v="0"/>
    <x v="0"/>
    <x v="17"/>
    <n v="3.6"/>
    <n v="4"/>
    <n v="1"/>
    <x v="30"/>
  </r>
  <r>
    <n v="20"/>
    <x v="32"/>
    <x v="23"/>
    <x v="24"/>
    <n v="166"/>
    <n v="56"/>
    <n v="1.28"/>
    <x v="33"/>
    <x v="2"/>
    <x v="0"/>
    <x v="31"/>
    <n v="3"/>
    <n v="4"/>
    <n v="1"/>
    <x v="31"/>
  </r>
  <r>
    <n v="51"/>
    <x v="33"/>
    <x v="2"/>
    <x v="25"/>
    <n v="147"/>
    <n v="51"/>
    <n v="1.52"/>
    <x v="34"/>
    <x v="0"/>
    <x v="1"/>
    <x v="32"/>
    <n v="2"/>
    <n v="4"/>
    <n v="1"/>
    <x v="32"/>
  </r>
  <r>
    <n v="52"/>
    <x v="11"/>
    <x v="24"/>
    <x v="26"/>
    <n v="156"/>
    <n v="56"/>
    <n v="1.2"/>
    <x v="35"/>
    <x v="1"/>
    <x v="0"/>
    <x v="33"/>
    <n v="2"/>
    <n v="4"/>
    <n v="2"/>
    <x v="9"/>
  </r>
  <r>
    <n v="35"/>
    <x v="34"/>
    <x v="25"/>
    <x v="16"/>
    <n v="147"/>
    <n v="52"/>
    <n v="0.92"/>
    <x v="36"/>
    <x v="0"/>
    <x v="1"/>
    <x v="34"/>
    <n v="2.4"/>
    <n v="3"/>
    <n v="2"/>
    <x v="33"/>
  </r>
  <r>
    <n v="21"/>
    <x v="35"/>
    <x v="26"/>
    <x v="1"/>
    <n v="125"/>
    <n v="74"/>
    <n v="1.56"/>
    <x v="37"/>
    <x v="0"/>
    <x v="1"/>
    <x v="35"/>
    <n v="2.7"/>
    <n v="3"/>
    <n v="1"/>
    <x v="34"/>
  </r>
  <r>
    <n v="48"/>
    <x v="36"/>
    <x v="27"/>
    <x v="27"/>
    <n v="162"/>
    <n v="63"/>
    <n v="0.89"/>
    <x v="38"/>
    <x v="1"/>
    <x v="0"/>
    <x v="36"/>
    <n v="2.5"/>
    <n v="4"/>
    <n v="2"/>
    <x v="9"/>
  </r>
  <r>
    <n v="18"/>
    <x v="37"/>
    <x v="9"/>
    <x v="16"/>
    <n v="154"/>
    <n v="73"/>
    <n v="1.18"/>
    <x v="39"/>
    <x v="0"/>
    <x v="1"/>
    <x v="37"/>
    <n v="2.6"/>
    <n v="2"/>
    <n v="2"/>
    <x v="35"/>
  </r>
  <r>
    <n v="18"/>
    <x v="38"/>
    <x v="19"/>
    <x v="28"/>
    <n v="148"/>
    <n v="52"/>
    <n v="0.92"/>
    <x v="40"/>
    <x v="0"/>
    <x v="0"/>
    <x v="38"/>
    <n v="3.4"/>
    <n v="3"/>
    <n v="3"/>
    <x v="36"/>
  </r>
  <r>
    <n v="28"/>
    <x v="39"/>
    <x v="28"/>
    <x v="0"/>
    <n v="155"/>
    <n v="68"/>
    <n v="0.74"/>
    <x v="41"/>
    <x v="3"/>
    <x v="1"/>
    <x v="39"/>
    <n v="2.2999999999999998"/>
    <n v="3"/>
    <n v="2"/>
    <x v="37"/>
  </r>
  <r>
    <n v="23"/>
    <x v="40"/>
    <x v="20"/>
    <x v="29"/>
    <n v="136"/>
    <n v="71"/>
    <n v="1.53"/>
    <x v="42"/>
    <x v="1"/>
    <x v="1"/>
    <x v="40"/>
    <n v="2.2999999999999998"/>
    <n v="5"/>
    <n v="3"/>
    <x v="38"/>
  </r>
  <r>
    <n v="30"/>
    <x v="41"/>
    <x v="3"/>
    <x v="30"/>
    <n v="168"/>
    <n v="66"/>
    <n v="1.4"/>
    <x v="43"/>
    <x v="4"/>
    <x v="0"/>
    <x v="11"/>
    <n v="3.6"/>
    <n v="3"/>
    <n v="1"/>
    <x v="39"/>
  </r>
  <r>
    <n v="18"/>
    <x v="42"/>
    <x v="29"/>
    <x v="28"/>
    <n v="162"/>
    <n v="73"/>
    <n v="2"/>
    <x v="44"/>
    <x v="4"/>
    <x v="0"/>
    <x v="41"/>
    <n v="1.5"/>
    <n v="3"/>
    <n v="2"/>
    <x v="40"/>
  </r>
  <r>
    <n v="37"/>
    <x v="43"/>
    <x v="30"/>
    <x v="11"/>
    <n v="150"/>
    <n v="52"/>
    <n v="1.04"/>
    <x v="45"/>
    <x v="1"/>
    <x v="2"/>
    <x v="37"/>
    <n v="3.2"/>
    <m/>
    <n v="3"/>
    <x v="41"/>
  </r>
  <r>
    <n v="49"/>
    <x v="21"/>
    <x v="22"/>
    <x v="30"/>
    <n v="148"/>
    <n v="68"/>
    <n v="1.27"/>
    <x v="46"/>
    <x v="1"/>
    <x v="0"/>
    <x v="42"/>
    <n v="2"/>
    <n v="5"/>
    <m/>
    <x v="42"/>
  </r>
  <r>
    <n v="42"/>
    <x v="44"/>
    <x v="31"/>
    <x v="8"/>
    <n v="125"/>
    <n v="72"/>
    <n v="1.91"/>
    <x v="47"/>
    <x v="2"/>
    <x v="0"/>
    <x v="43"/>
    <n v="2"/>
    <n v="4"/>
    <n v="1"/>
    <x v="9"/>
  </r>
  <r>
    <n v="27"/>
    <x v="45"/>
    <x v="11"/>
    <x v="23"/>
    <n v="145"/>
    <n v="52"/>
    <n v="2"/>
    <x v="48"/>
    <x v="1"/>
    <x v="0"/>
    <x v="31"/>
    <n v="2.7"/>
    <n v="2"/>
    <n v="3"/>
    <x v="43"/>
  </r>
  <r>
    <n v="35"/>
    <x v="46"/>
    <x v="0"/>
    <x v="4"/>
    <n v="156"/>
    <n v="62"/>
    <n v="1.1200000000000001"/>
    <x v="49"/>
    <x v="0"/>
    <x v="0"/>
    <x v="44"/>
    <n v="1.8"/>
    <n v="4"/>
    <n v="3"/>
    <x v="9"/>
  </r>
  <r>
    <n v="24"/>
    <x v="47"/>
    <x v="22"/>
    <x v="14"/>
    <n v="169"/>
    <n v="59"/>
    <n v="1.08"/>
    <x v="50"/>
    <x v="1"/>
    <x v="0"/>
    <x v="45"/>
    <n v="2.1"/>
    <n v="3"/>
    <n v="1"/>
    <x v="44"/>
  </r>
  <r>
    <n v="44"/>
    <x v="48"/>
    <x v="9"/>
    <x v="31"/>
    <n v="129"/>
    <n v="74"/>
    <n v="1.34"/>
    <x v="51"/>
    <x v="3"/>
    <x v="0"/>
    <x v="46"/>
    <n v="3.4"/>
    <n v="4"/>
    <n v="1"/>
    <x v="45"/>
  </r>
  <r>
    <n v="52"/>
    <x v="45"/>
    <x v="5"/>
    <x v="32"/>
    <n v="131"/>
    <n v="53"/>
    <n v="1.1399999999999999"/>
    <x v="52"/>
    <x v="2"/>
    <x v="1"/>
    <x v="47"/>
    <n v="3.3"/>
    <n v="3"/>
    <m/>
    <x v="46"/>
  </r>
  <r>
    <n v="49"/>
    <x v="49"/>
    <x v="26"/>
    <x v="22"/>
    <n v="120"/>
    <n v="72"/>
    <n v="1.1200000000000001"/>
    <x v="53"/>
    <x v="3"/>
    <x v="0"/>
    <x v="48"/>
    <n v="2.6"/>
    <n v="2"/>
    <n v="2"/>
    <x v="47"/>
  </r>
  <r>
    <n v="36"/>
    <x v="11"/>
    <x v="19"/>
    <x v="25"/>
    <n v="169"/>
    <n v="69"/>
    <n v="1.3"/>
    <x v="54"/>
    <x v="2"/>
    <x v="0"/>
    <x v="49"/>
    <n v="2.7"/>
    <n v="4"/>
    <n v="1"/>
    <x v="48"/>
  </r>
  <r>
    <n v="23"/>
    <x v="50"/>
    <x v="12"/>
    <x v="18"/>
    <n v="162"/>
    <n v="54"/>
    <n v="1.76"/>
    <x v="55"/>
    <x v="3"/>
    <x v="0"/>
    <x v="50"/>
    <n v="3.2"/>
    <n v="3"/>
    <n v="1"/>
    <x v="49"/>
  </r>
  <r>
    <n v="56"/>
    <x v="11"/>
    <x v="4"/>
    <x v="33"/>
    <n v="146"/>
    <n v="74"/>
    <n v="1.43"/>
    <x v="56"/>
    <x v="3"/>
    <x v="0"/>
    <x v="13"/>
    <n v="3.4"/>
    <n v="2"/>
    <n v="1"/>
    <x v="50"/>
  </r>
  <r>
    <n v="48"/>
    <x v="39"/>
    <x v="27"/>
    <x v="30"/>
    <n v="144"/>
    <n v="68"/>
    <n v="1.23"/>
    <x v="57"/>
    <x v="3"/>
    <x v="2"/>
    <x v="51"/>
    <n v="2.6"/>
    <n v="2"/>
    <n v="1"/>
    <x v="51"/>
  </r>
  <r>
    <n v="24"/>
    <x v="51"/>
    <x v="4"/>
    <x v="13"/>
    <n v="161"/>
    <n v="51"/>
    <n v="1.9"/>
    <x v="58"/>
    <x v="1"/>
    <x v="1"/>
    <x v="49"/>
    <n v="3.5"/>
    <n v="4"/>
    <m/>
    <x v="52"/>
  </r>
  <r>
    <n v="22"/>
    <x v="52"/>
    <x v="21"/>
    <x v="26"/>
    <n v="169"/>
    <n v="62"/>
    <n v="1.1399999999999999"/>
    <x v="59"/>
    <x v="3"/>
    <x v="0"/>
    <x v="52"/>
    <n v="3.6"/>
    <n v="4"/>
    <n v="1"/>
    <x v="53"/>
  </r>
  <r>
    <n v="20"/>
    <x v="53"/>
    <x v="7"/>
    <x v="34"/>
    <n v="156"/>
    <n v="51"/>
    <n v="1.1100000000000001"/>
    <x v="60"/>
    <x v="0"/>
    <x v="0"/>
    <x v="53"/>
    <n v="3.2"/>
    <n v="3"/>
    <n v="2"/>
    <x v="54"/>
  </r>
  <r>
    <n v="44"/>
    <x v="11"/>
    <x v="30"/>
    <x v="29"/>
    <n v="156"/>
    <n v="74"/>
    <n v="1.04"/>
    <x v="61"/>
    <x v="1"/>
    <x v="0"/>
    <x v="54"/>
    <n v="1.8"/>
    <n v="3"/>
    <n v="3"/>
    <x v="9"/>
  </r>
  <r>
    <n v="33"/>
    <x v="54"/>
    <x v="16"/>
    <x v="31"/>
    <n v="153"/>
    <n v="74"/>
    <n v="1.41"/>
    <x v="62"/>
    <x v="0"/>
    <x v="0"/>
    <x v="55"/>
    <n v="2.6"/>
    <n v="2"/>
    <n v="1"/>
    <x v="55"/>
  </r>
  <r>
    <n v="18"/>
    <x v="11"/>
    <x v="32"/>
    <x v="3"/>
    <n v="134"/>
    <n v="53"/>
    <n v="0.98"/>
    <x v="63"/>
    <x v="5"/>
    <x v="1"/>
    <x v="56"/>
    <n v="2.1"/>
    <n v="3"/>
    <n v="3"/>
    <x v="56"/>
  </r>
  <r>
    <n v="59"/>
    <x v="55"/>
    <x v="20"/>
    <x v="35"/>
    <n v="137"/>
    <n v="55"/>
    <n v="1.98"/>
    <x v="64"/>
    <x v="6"/>
    <x v="1"/>
    <x v="57"/>
    <n v="2.9"/>
    <n v="4"/>
    <n v="2"/>
    <x v="57"/>
  </r>
  <r>
    <n v="27"/>
    <x v="56"/>
    <x v="26"/>
    <x v="24"/>
    <n v="128"/>
    <n v="61"/>
    <n v="1.92"/>
    <x v="20"/>
    <x v="0"/>
    <x v="1"/>
    <x v="58"/>
    <n v="2.5"/>
    <n v="4"/>
    <n v="2"/>
    <x v="58"/>
  </r>
  <r>
    <n v="33"/>
    <x v="57"/>
    <x v="31"/>
    <x v="18"/>
    <n v="125"/>
    <n v="72"/>
    <n v="0.95"/>
    <x v="65"/>
    <x v="0"/>
    <x v="0"/>
    <x v="59"/>
    <n v="2.2999999999999998"/>
    <n v="5"/>
    <n v="1"/>
    <x v="59"/>
  </r>
  <r>
    <n v="47"/>
    <x v="58"/>
    <x v="21"/>
    <x v="10"/>
    <n v="151"/>
    <n v="56"/>
    <n v="1.39"/>
    <x v="66"/>
    <x v="1"/>
    <x v="1"/>
    <x v="60"/>
    <n v="3.5"/>
    <n v="2"/>
    <n v="3"/>
    <x v="60"/>
  </r>
  <r>
    <n v="18"/>
    <x v="59"/>
    <x v="33"/>
    <x v="11"/>
    <n v="165"/>
    <n v="56"/>
    <n v="0.74"/>
    <x v="67"/>
    <x v="2"/>
    <x v="1"/>
    <x v="43"/>
    <n v="3.3"/>
    <n v="3"/>
    <n v="3"/>
    <x v="9"/>
  </r>
  <r>
    <n v="46"/>
    <x v="11"/>
    <x v="5"/>
    <x v="3"/>
    <n v="132"/>
    <n v="58"/>
    <n v="1.29"/>
    <x v="68"/>
    <x v="0"/>
    <x v="0"/>
    <x v="61"/>
    <n v="2.5"/>
    <m/>
    <n v="2"/>
    <x v="2"/>
  </r>
  <r>
    <n v="27"/>
    <x v="60"/>
    <x v="25"/>
    <x v="22"/>
    <n v="159"/>
    <n v="70"/>
    <n v="1.1599999999999999"/>
    <x v="69"/>
    <x v="1"/>
    <x v="1"/>
    <x v="62"/>
    <n v="3.1"/>
    <n v="3"/>
    <n v="1"/>
    <x v="9"/>
  </r>
  <r>
    <n v="34"/>
    <x v="61"/>
    <x v="34"/>
    <x v="5"/>
    <m/>
    <n v="59"/>
    <n v="1.59"/>
    <x v="70"/>
    <x v="2"/>
    <x v="0"/>
    <x v="63"/>
    <n v="1.6"/>
    <n v="3"/>
    <n v="1"/>
    <x v="61"/>
  </r>
  <r>
    <n v="45"/>
    <x v="62"/>
    <x v="18"/>
    <x v="36"/>
    <n v="159"/>
    <n v="69"/>
    <n v="1.23"/>
    <x v="71"/>
    <x v="6"/>
    <x v="1"/>
    <x v="64"/>
    <n v="3.3"/>
    <n v="3"/>
    <n v="3"/>
    <x v="62"/>
  </r>
  <r>
    <n v="55"/>
    <x v="63"/>
    <x v="2"/>
    <x v="29"/>
    <n v="150"/>
    <n v="58"/>
    <n v="1.1599999999999999"/>
    <x v="72"/>
    <x v="1"/>
    <x v="0"/>
    <x v="65"/>
    <n v="2.5"/>
    <n v="4"/>
    <n v="2"/>
    <x v="63"/>
  </r>
  <r>
    <n v="18"/>
    <x v="64"/>
    <x v="16"/>
    <x v="19"/>
    <n v="131"/>
    <n v="57"/>
    <n v="1.28"/>
    <x v="73"/>
    <x v="1"/>
    <x v="0"/>
    <x v="66"/>
    <n v="3.5"/>
    <n v="4"/>
    <n v="2"/>
    <x v="64"/>
  </r>
  <r>
    <n v="41"/>
    <x v="65"/>
    <x v="35"/>
    <x v="36"/>
    <n v="137"/>
    <n v="72"/>
    <n v="1.23"/>
    <x v="74"/>
    <x v="4"/>
    <x v="0"/>
    <x v="67"/>
    <n v="2.2999999999999998"/>
    <n v="3"/>
    <n v="2"/>
    <x v="65"/>
  </r>
  <r>
    <n v="24"/>
    <x v="66"/>
    <x v="18"/>
    <x v="29"/>
    <n v="120"/>
    <n v="70"/>
    <n v="0.78"/>
    <x v="75"/>
    <x v="0"/>
    <x v="1"/>
    <x v="36"/>
    <n v="1.7"/>
    <n v="5"/>
    <n v="1"/>
    <x v="66"/>
  </r>
  <r>
    <n v="26"/>
    <x v="67"/>
    <x v="28"/>
    <x v="21"/>
    <n v="169"/>
    <n v="68"/>
    <n v="1.91"/>
    <x v="76"/>
    <x v="0"/>
    <x v="0"/>
    <x v="68"/>
    <n v="3.7"/>
    <n v="2"/>
    <n v="2"/>
    <x v="67"/>
  </r>
  <r>
    <n v="18"/>
    <x v="68"/>
    <x v="27"/>
    <x v="3"/>
    <n v="169"/>
    <n v="72"/>
    <n v="1.07"/>
    <x v="77"/>
    <x v="4"/>
    <x v="2"/>
    <x v="69"/>
    <n v="1.6"/>
    <n v="4"/>
    <n v="3"/>
    <x v="68"/>
  </r>
  <r>
    <n v="29"/>
    <x v="69"/>
    <x v="28"/>
    <x v="29"/>
    <n v="141"/>
    <n v="54"/>
    <n v="2"/>
    <x v="78"/>
    <x v="3"/>
    <x v="1"/>
    <x v="70"/>
    <n v="2.2999999999999998"/>
    <n v="2"/>
    <n v="3"/>
    <x v="69"/>
  </r>
  <r>
    <n v="26"/>
    <x v="70"/>
    <x v="36"/>
    <x v="33"/>
    <n v="142"/>
    <n v="68"/>
    <n v="2"/>
    <x v="79"/>
    <x v="0"/>
    <x v="2"/>
    <x v="71"/>
    <n v="3.2"/>
    <n v="4"/>
    <n v="1"/>
    <x v="9"/>
  </r>
  <r>
    <n v="43"/>
    <x v="71"/>
    <x v="19"/>
    <x v="1"/>
    <n v="146"/>
    <n v="58"/>
    <n v="1.62"/>
    <x v="80"/>
    <x v="2"/>
    <x v="1"/>
    <x v="72"/>
    <n v="2.6"/>
    <n v="3"/>
    <n v="1"/>
    <x v="70"/>
  </r>
  <r>
    <n v="48"/>
    <x v="72"/>
    <x v="21"/>
    <x v="21"/>
    <n v="169"/>
    <n v="59"/>
    <n v="1.54"/>
    <x v="81"/>
    <x v="1"/>
    <x v="1"/>
    <x v="73"/>
    <n v="1.9"/>
    <n v="2"/>
    <m/>
    <x v="71"/>
  </r>
  <r>
    <n v="29"/>
    <x v="73"/>
    <x v="37"/>
    <x v="31"/>
    <n v="144"/>
    <n v="68"/>
    <n v="0.87"/>
    <x v="82"/>
    <x v="2"/>
    <x v="0"/>
    <x v="40"/>
    <n v="3.6"/>
    <n v="4"/>
    <n v="3"/>
    <x v="72"/>
  </r>
  <r>
    <n v="57"/>
    <x v="48"/>
    <x v="38"/>
    <x v="37"/>
    <n v="158"/>
    <m/>
    <n v="1.56"/>
    <x v="83"/>
    <x v="0"/>
    <x v="0"/>
    <x v="74"/>
    <n v="3.6"/>
    <n v="4"/>
    <n v="1"/>
    <x v="9"/>
  </r>
  <r>
    <n v="22"/>
    <x v="34"/>
    <x v="17"/>
    <x v="28"/>
    <n v="142"/>
    <n v="61"/>
    <n v="1.23"/>
    <x v="84"/>
    <x v="0"/>
    <x v="0"/>
    <x v="75"/>
    <n v="2.2999999999999998"/>
    <n v="3"/>
    <n v="3"/>
    <x v="73"/>
  </r>
  <r>
    <n v="20"/>
    <x v="74"/>
    <x v="39"/>
    <x v="5"/>
    <n v="127"/>
    <n v="54"/>
    <n v="1.02"/>
    <x v="85"/>
    <x v="4"/>
    <x v="1"/>
    <x v="69"/>
    <n v="3.4"/>
    <n v="3"/>
    <m/>
    <x v="74"/>
  </r>
  <r>
    <n v="39"/>
    <x v="75"/>
    <x v="15"/>
    <x v="29"/>
    <n v="136"/>
    <n v="69"/>
    <n v="1.42"/>
    <x v="86"/>
    <x v="3"/>
    <x v="0"/>
    <x v="76"/>
    <n v="3.2"/>
    <n v="3"/>
    <n v="2"/>
    <x v="75"/>
  </r>
  <r>
    <n v="41"/>
    <x v="11"/>
    <x v="16"/>
    <x v="10"/>
    <n v="148"/>
    <n v="65"/>
    <n v="1.03"/>
    <x v="6"/>
    <x v="3"/>
    <x v="1"/>
    <x v="7"/>
    <n v="1.9"/>
    <n v="5"/>
    <n v="1"/>
    <x v="76"/>
  </r>
  <r>
    <n v="41"/>
    <x v="76"/>
    <x v="40"/>
    <x v="7"/>
    <n v="155"/>
    <n v="61"/>
    <n v="1.18"/>
    <x v="87"/>
    <x v="2"/>
    <x v="0"/>
    <x v="34"/>
    <n v="3.4"/>
    <n v="4"/>
    <n v="1"/>
    <x v="77"/>
  </r>
  <r>
    <n v="31"/>
    <x v="77"/>
    <x v="26"/>
    <x v="38"/>
    <n v="169"/>
    <n v="67"/>
    <n v="1.46"/>
    <x v="88"/>
    <x v="2"/>
    <x v="0"/>
    <x v="77"/>
    <n v="3.4"/>
    <n v="4"/>
    <n v="2"/>
    <x v="78"/>
  </r>
  <r>
    <n v="20"/>
    <x v="31"/>
    <x v="30"/>
    <x v="12"/>
    <n v="154"/>
    <n v="74"/>
    <n v="1.5"/>
    <x v="89"/>
    <x v="3"/>
    <x v="1"/>
    <x v="40"/>
    <n v="2.4"/>
    <n v="4"/>
    <n v="1"/>
    <x v="9"/>
  </r>
  <r>
    <n v="26"/>
    <x v="78"/>
    <x v="25"/>
    <x v="20"/>
    <n v="138"/>
    <n v="52"/>
    <n v="1.26"/>
    <x v="90"/>
    <x v="3"/>
    <x v="1"/>
    <x v="78"/>
    <n v="3.6"/>
    <n v="3"/>
    <n v="3"/>
    <x v="79"/>
  </r>
  <r>
    <n v="37"/>
    <x v="79"/>
    <x v="1"/>
    <x v="34"/>
    <n v="152"/>
    <n v="58"/>
    <n v="1.58"/>
    <x v="91"/>
    <x v="1"/>
    <x v="0"/>
    <x v="79"/>
    <n v="3.3"/>
    <n v="4"/>
    <n v="2"/>
    <x v="80"/>
  </r>
  <r>
    <n v="59"/>
    <x v="80"/>
    <x v="6"/>
    <x v="29"/>
    <n v="169"/>
    <n v="58"/>
    <n v="1.47"/>
    <x v="92"/>
    <x v="1"/>
    <x v="1"/>
    <x v="80"/>
    <n v="2.5"/>
    <n v="5"/>
    <n v="2"/>
    <x v="9"/>
  </r>
  <r>
    <n v="22"/>
    <x v="41"/>
    <x v="2"/>
    <x v="17"/>
    <n v="144"/>
    <n v="53"/>
    <n v="2"/>
    <x v="93"/>
    <x v="6"/>
    <x v="1"/>
    <x v="20"/>
    <n v="3.7"/>
    <n v="4"/>
    <n v="2"/>
    <x v="81"/>
  </r>
  <r>
    <n v="25"/>
    <x v="81"/>
    <x v="41"/>
    <x v="25"/>
    <n v="144"/>
    <n v="61"/>
    <n v="1.56"/>
    <x v="94"/>
    <x v="0"/>
    <x v="1"/>
    <x v="81"/>
    <n v="2.4"/>
    <n v="3"/>
    <n v="2"/>
    <x v="82"/>
  </r>
  <r>
    <n v="32"/>
    <x v="49"/>
    <x v="42"/>
    <x v="38"/>
    <n v="123"/>
    <n v="65"/>
    <n v="1.25"/>
    <x v="95"/>
    <x v="2"/>
    <x v="1"/>
    <x v="82"/>
    <n v="3.5"/>
    <n v="4"/>
    <n v="3"/>
    <x v="83"/>
  </r>
  <r>
    <n v="37"/>
    <x v="82"/>
    <x v="22"/>
    <x v="12"/>
    <n v="132"/>
    <n v="50"/>
    <n v="1.19"/>
    <x v="96"/>
    <x v="0"/>
    <x v="0"/>
    <x v="31"/>
    <m/>
    <n v="3"/>
    <n v="3"/>
    <x v="84"/>
  </r>
  <r>
    <n v="29"/>
    <x v="83"/>
    <x v="21"/>
    <x v="38"/>
    <n v="169"/>
    <n v="74"/>
    <n v="1.49"/>
    <x v="97"/>
    <x v="2"/>
    <x v="0"/>
    <x v="65"/>
    <n v="3.7"/>
    <n v="5"/>
    <n v="3"/>
    <x v="85"/>
  </r>
  <r>
    <n v="30"/>
    <x v="60"/>
    <x v="42"/>
    <x v="15"/>
    <n v="136"/>
    <n v="74"/>
    <n v="2"/>
    <x v="90"/>
    <x v="2"/>
    <x v="0"/>
    <x v="83"/>
    <n v="1.5"/>
    <n v="5"/>
    <n v="2"/>
    <x v="86"/>
  </r>
  <r>
    <n v="28"/>
    <x v="84"/>
    <x v="4"/>
    <x v="39"/>
    <n v="142"/>
    <n v="52"/>
    <n v="1.45"/>
    <x v="98"/>
    <x v="0"/>
    <x v="1"/>
    <x v="23"/>
    <n v="2.6"/>
    <n v="2"/>
    <n v="1"/>
    <x v="87"/>
  </r>
  <r>
    <n v="33"/>
    <x v="85"/>
    <x v="8"/>
    <x v="7"/>
    <n v="126"/>
    <n v="56"/>
    <n v="1.27"/>
    <x v="99"/>
    <x v="1"/>
    <x v="1"/>
    <x v="84"/>
    <n v="3.7"/>
    <n v="4"/>
    <n v="2"/>
    <x v="88"/>
  </r>
  <r>
    <n v="48"/>
    <x v="86"/>
    <x v="27"/>
    <x v="13"/>
    <n v="143"/>
    <n v="56"/>
    <n v="1.37"/>
    <x v="100"/>
    <x v="0"/>
    <x v="0"/>
    <x v="85"/>
    <n v="2.7"/>
    <n v="3"/>
    <n v="3"/>
    <x v="89"/>
  </r>
  <r>
    <n v="32"/>
    <x v="87"/>
    <x v="6"/>
    <x v="2"/>
    <n v="129"/>
    <m/>
    <n v="1.19"/>
    <x v="101"/>
    <x v="2"/>
    <x v="1"/>
    <x v="9"/>
    <n v="1.9"/>
    <n v="4"/>
    <n v="2"/>
    <x v="90"/>
  </r>
  <r>
    <n v="54"/>
    <x v="88"/>
    <x v="43"/>
    <x v="33"/>
    <n v="169"/>
    <n v="68"/>
    <n v="1.47"/>
    <x v="102"/>
    <x v="1"/>
    <x v="2"/>
    <x v="86"/>
    <n v="3.1"/>
    <n v="4"/>
    <n v="2"/>
    <x v="91"/>
  </r>
  <r>
    <n v="49"/>
    <x v="31"/>
    <x v="24"/>
    <x v="38"/>
    <n v="159"/>
    <n v="53"/>
    <n v="1.3"/>
    <x v="103"/>
    <x v="2"/>
    <x v="1"/>
    <x v="18"/>
    <n v="1.5"/>
    <n v="4"/>
    <n v="2"/>
    <x v="92"/>
  </r>
  <r>
    <n v="53"/>
    <x v="12"/>
    <x v="24"/>
    <x v="34"/>
    <n v="152"/>
    <n v="53"/>
    <n v="1.37"/>
    <x v="104"/>
    <x v="1"/>
    <x v="1"/>
    <x v="80"/>
    <n v="2.6"/>
    <n v="5"/>
    <n v="2"/>
    <x v="93"/>
  </r>
  <r>
    <n v="54"/>
    <x v="89"/>
    <x v="2"/>
    <x v="2"/>
    <n v="162"/>
    <n v="63"/>
    <n v="1.35"/>
    <x v="23"/>
    <x v="0"/>
    <x v="0"/>
    <x v="87"/>
    <n v="3.6"/>
    <n v="4"/>
    <n v="1"/>
    <x v="94"/>
  </r>
  <r>
    <n v="18"/>
    <x v="90"/>
    <x v="3"/>
    <x v="25"/>
    <n v="168"/>
    <n v="58"/>
    <n v="1.9"/>
    <x v="105"/>
    <x v="2"/>
    <x v="0"/>
    <x v="52"/>
    <n v="3.7"/>
    <n v="5"/>
    <n v="2"/>
    <x v="95"/>
  </r>
  <r>
    <n v="18"/>
    <x v="33"/>
    <x v="16"/>
    <x v="22"/>
    <n v="137"/>
    <n v="66"/>
    <n v="1.2"/>
    <x v="106"/>
    <x v="3"/>
    <x v="1"/>
    <x v="88"/>
    <n v="3.7"/>
    <n v="3"/>
    <n v="2"/>
    <x v="96"/>
  </r>
  <r>
    <n v="29"/>
    <x v="91"/>
    <x v="15"/>
    <x v="18"/>
    <n v="148"/>
    <n v="50"/>
    <n v="1.38"/>
    <x v="107"/>
    <x v="0"/>
    <x v="1"/>
    <x v="89"/>
    <n v="2.5"/>
    <n v="3"/>
    <m/>
    <x v="97"/>
  </r>
  <r>
    <n v="22"/>
    <x v="92"/>
    <x v="12"/>
    <x v="33"/>
    <n v="144"/>
    <n v="71"/>
    <n v="1.1000000000000001"/>
    <x v="108"/>
    <x v="0"/>
    <x v="0"/>
    <x v="90"/>
    <n v="2.6"/>
    <n v="3"/>
    <n v="1"/>
    <x v="98"/>
  </r>
  <r>
    <n v="20"/>
    <x v="93"/>
    <x v="2"/>
    <x v="14"/>
    <n v="136"/>
    <n v="58"/>
    <n v="1.44"/>
    <x v="109"/>
    <x v="2"/>
    <x v="1"/>
    <x v="19"/>
    <n v="1.5"/>
    <n v="3"/>
    <n v="2"/>
    <x v="99"/>
  </r>
  <r>
    <n v="29"/>
    <x v="94"/>
    <x v="4"/>
    <x v="22"/>
    <n v="165"/>
    <n v="67"/>
    <n v="1.58"/>
    <x v="78"/>
    <x v="0"/>
    <x v="0"/>
    <x v="91"/>
    <n v="3.3"/>
    <n v="4"/>
    <n v="1"/>
    <x v="78"/>
  </r>
  <r>
    <n v="47"/>
    <x v="95"/>
    <x v="44"/>
    <x v="28"/>
    <n v="164"/>
    <n v="74"/>
    <n v="1.87"/>
    <x v="110"/>
    <x v="2"/>
    <x v="1"/>
    <x v="74"/>
    <n v="3.5"/>
    <n v="5"/>
    <n v="2"/>
    <x v="100"/>
  </r>
  <r>
    <n v="20"/>
    <x v="59"/>
    <x v="26"/>
    <x v="21"/>
    <n v="136"/>
    <n v="51"/>
    <n v="0.57999999999999996"/>
    <x v="111"/>
    <x v="3"/>
    <x v="0"/>
    <x v="92"/>
    <n v="3"/>
    <n v="4"/>
    <n v="1"/>
    <x v="101"/>
  </r>
  <r>
    <n v="18"/>
    <x v="33"/>
    <x v="37"/>
    <x v="10"/>
    <n v="154"/>
    <n v="72"/>
    <n v="1.58"/>
    <x v="112"/>
    <x v="0"/>
    <x v="1"/>
    <x v="68"/>
    <n v="2.2999999999999998"/>
    <n v="3"/>
    <n v="1"/>
    <x v="102"/>
  </r>
  <r>
    <n v="18"/>
    <x v="96"/>
    <x v="26"/>
    <x v="2"/>
    <n v="149"/>
    <n v="74"/>
    <n v="1.64"/>
    <x v="113"/>
    <x v="2"/>
    <x v="1"/>
    <x v="85"/>
    <n v="2.4"/>
    <n v="3"/>
    <n v="1"/>
    <x v="25"/>
  </r>
  <r>
    <n v="33"/>
    <x v="97"/>
    <x v="15"/>
    <x v="34"/>
    <n v="120"/>
    <n v="74"/>
    <n v="1.44"/>
    <x v="114"/>
    <x v="4"/>
    <x v="0"/>
    <x v="11"/>
    <n v="2.6"/>
    <n v="3"/>
    <n v="3"/>
    <x v="1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F5BB1-A2D2-4576-B3CE-B1C3191541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5">
    <pivotField showAll="0">
      <items count="42">
        <item x="7"/>
        <item h="1" x="10"/>
        <item h="1" x="21"/>
        <item h="1" x="25"/>
        <item h="1" x="2"/>
        <item h="1" x="13"/>
        <item h="1" x="30"/>
        <item h="1" x="16"/>
        <item h="1" x="1"/>
        <item h="1" x="20"/>
        <item h="1" x="19"/>
        <item h="1" x="36"/>
        <item h="1" x="12"/>
        <item h="1" x="39"/>
        <item h="1" x="18"/>
        <item h="1" x="31"/>
        <item h="1" x="0"/>
        <item h="1" x="24"/>
        <item h="1" x="15"/>
        <item h="1" x="27"/>
        <item h="1" x="4"/>
        <item h="1" x="8"/>
        <item h="1" x="35"/>
        <item h="1" x="29"/>
        <item h="1" x="37"/>
        <item h="1" x="5"/>
        <item h="1" x="33"/>
        <item h="1" x="9"/>
        <item h="1" x="32"/>
        <item h="1" x="26"/>
        <item h="1" x="28"/>
        <item h="1" x="6"/>
        <item h="1" x="22"/>
        <item h="1" x="23"/>
        <item h="1" x="40"/>
        <item h="1" x="3"/>
        <item h="1" x="34"/>
        <item h="1" x="11"/>
        <item h="1" x="38"/>
        <item h="1" x="17"/>
        <item h="1" x="14"/>
        <item t="default"/>
      </items>
    </pivotField>
    <pivotField showAll="0"/>
    <pivotField showAll="0"/>
    <pivotField dataField="1" showAll="0"/>
    <pivotField showAll="0"/>
    <pivotField showAll="0"/>
    <pivotField showAll="0"/>
    <pivotField dataField="1"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axis="axisRow" showAll="0">
      <items count="8">
        <item h="1" x="5"/>
        <item h="1" x="6"/>
        <item x="1"/>
        <item x="2"/>
        <item x="0"/>
        <item x="3"/>
        <item h="1" x="4"/>
        <item t="default"/>
      </items>
    </pivotField>
    <pivotField showAll="0">
      <items count="4">
        <item h="1" x="0"/>
        <item x="1"/>
        <item h="1" x="2"/>
        <item t="default"/>
      </items>
    </pivotField>
    <pivotField showAll="0"/>
    <pivotField showAll="0">
      <items count="25">
        <item x="13"/>
        <item x="14"/>
        <item x="15"/>
        <item x="6"/>
        <item x="2"/>
        <item x="20"/>
        <item x="12"/>
        <item x="7"/>
        <item x="8"/>
        <item x="0"/>
        <item x="4"/>
        <item x="16"/>
        <item x="10"/>
        <item x="1"/>
        <item x="22"/>
        <item x="9"/>
        <item x="19"/>
        <item x="3"/>
        <item x="17"/>
        <item x="21"/>
        <item x="11"/>
        <item x="18"/>
        <item x="5"/>
        <item x="23"/>
        <item t="default"/>
      </items>
    </pivotField>
    <pivotField showAll="0"/>
    <pivotField showAll="0"/>
    <pivotField showAll="0"/>
  </pivotFields>
  <rowFields count="1">
    <field x="8"/>
  </rowFields>
  <rowItems count="5">
    <i>
      <x v="2"/>
    </i>
    <i>
      <x v="3"/>
    </i>
    <i>
      <x v="4"/>
    </i>
    <i>
      <x v="5"/>
    </i>
    <i t="grand">
      <x/>
    </i>
  </rowItems>
  <colFields count="1">
    <field x="-2"/>
  </colFields>
  <colItems count="2">
    <i>
      <x/>
    </i>
    <i i="1">
      <x v="1"/>
    </i>
  </colItems>
  <dataFields count="2">
    <dataField name="Average of Calories_Burned" fld="7" subtotal="average" baseField="8" baseItem="2"/>
    <dataField name="Average of Max_BPM" fld="3" subtotal="average" baseField="8" baseItem="3"/>
  </dataFields>
  <chartFormats count="2">
    <chartFormat chart="0" format="0" series="1">
      <pivotArea type="data" outline="0" fieldPosition="0">
        <references count="1">
          <reference field="4294967294" count="1" selected="0">
            <x v="0"/>
          </reference>
        </references>
      </pivotArea>
    </chartFormat>
    <chartFormat chart="0" format="6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721C4-9FA8-424A-8EA6-8319AE2623D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C13" firstHeaderRow="0" firstDataRow="1" firstDataCol="1"/>
  <pivotFields count="15">
    <pivotField dataField="1" showAll="0">
      <items count="42">
        <item x="7"/>
        <item x="10"/>
        <item x="21"/>
        <item x="25"/>
        <item x="2"/>
        <item x="13"/>
        <item x="30"/>
        <item x="16"/>
        <item x="1"/>
        <item x="20"/>
        <item x="19"/>
        <item x="36"/>
        <item x="12"/>
        <item x="39"/>
        <item x="18"/>
        <item x="31"/>
        <item x="0"/>
        <item x="24"/>
        <item x="15"/>
        <item x="27"/>
        <item x="4"/>
        <item x="8"/>
        <item x="35"/>
        <item x="29"/>
        <item x="37"/>
        <item x="5"/>
        <item x="33"/>
        <item x="9"/>
        <item x="32"/>
        <item x="26"/>
        <item x="28"/>
        <item x="6"/>
        <item x="22"/>
        <item x="23"/>
        <item x="40"/>
        <item x="3"/>
        <item x="34"/>
        <item x="11"/>
        <item x="38"/>
        <item x="17"/>
        <item x="14"/>
        <item t="default"/>
      </items>
    </pivotField>
    <pivotField dataField="1" showAll="0">
      <items count="99">
        <item x="11"/>
        <item h="1" x="75"/>
        <item h="1" x="42"/>
        <item x="31"/>
        <item h="1" x="55"/>
        <item h="1" x="89"/>
        <item h="1" x="6"/>
        <item x="10"/>
        <item h="1" x="78"/>
        <item h="1" x="87"/>
        <item h="1" x="66"/>
        <item h="1" x="18"/>
        <item h="1" x="61"/>
        <item h="1" x="46"/>
        <item h="1" x="86"/>
        <item h="1" x="65"/>
        <item h="1" x="56"/>
        <item x="4"/>
        <item x="5"/>
        <item h="1" x="92"/>
        <item h="1" x="41"/>
        <item h="1" x="43"/>
        <item x="70"/>
        <item h="1" x="16"/>
        <item h="1" x="88"/>
        <item h="1" x="49"/>
        <item x="64"/>
        <item h="1" x="24"/>
        <item x="94"/>
        <item h="1" x="80"/>
        <item x="54"/>
        <item x="45"/>
        <item h="1" x="74"/>
        <item h="1" x="85"/>
        <item h="1" x="91"/>
        <item h="1" x="29"/>
        <item h="1" x="19"/>
        <item x="48"/>
        <item h="1" x="76"/>
        <item h="1" x="81"/>
        <item x="22"/>
        <item h="1" x="27"/>
        <item h="1" x="2"/>
        <item h="1" x="9"/>
        <item h="1" x="97"/>
        <item h="1" x="68"/>
        <item h="1" x="50"/>
        <item h="1" x="39"/>
        <item x="51"/>
        <item h="1" x="63"/>
        <item h="1" x="82"/>
        <item h="1" x="90"/>
        <item h="1" x="17"/>
        <item h="1" x="14"/>
        <item h="1" x="25"/>
        <item h="1" x="73"/>
        <item h="1" x="79"/>
        <item h="1" x="28"/>
        <item h="1" x="53"/>
        <item h="1" x="37"/>
        <item h="1" x="96"/>
        <item h="1" x="72"/>
        <item h="1" x="3"/>
        <item h="1" x="34"/>
        <item h="1" x="57"/>
        <item h="1" x="35"/>
        <item h="1" x="58"/>
        <item h="1" x="30"/>
        <item x="33"/>
        <item h="1" x="8"/>
        <item h="1" x="38"/>
        <item h="1" x="84"/>
        <item h="1" x="1"/>
        <item h="1" x="62"/>
        <item h="1" x="47"/>
        <item h="1" x="0"/>
        <item h="1" x="95"/>
        <item h="1" x="12"/>
        <item h="1" x="7"/>
        <item h="1" x="67"/>
        <item h="1" x="15"/>
        <item h="1" x="83"/>
        <item h="1" x="44"/>
        <item h="1" x="93"/>
        <item h="1" x="60"/>
        <item h="1" x="69"/>
        <item h="1" x="52"/>
        <item h="1" x="77"/>
        <item h="1" x="21"/>
        <item h="1" x="32"/>
        <item h="1" x="13"/>
        <item h="1" x="40"/>
        <item h="1" x="71"/>
        <item x="26"/>
        <item h="1" x="36"/>
        <item h="1" x="23"/>
        <item h="1" x="20"/>
        <item h="1" x="59"/>
        <item t="default"/>
      </items>
    </pivotField>
    <pivotField showAll="0">
      <items count="46">
        <item h="1" x="20"/>
        <item h="1" x="18"/>
        <item h="1" x="34"/>
        <item x="23"/>
        <item h="1" x="8"/>
        <item h="1" x="17"/>
        <item x="5"/>
        <item h="1" x="43"/>
        <item h="1" x="14"/>
        <item h="1" x="25"/>
        <item h="1" x="39"/>
        <item h="1" x="7"/>
        <item x="32"/>
        <item h="1" x="22"/>
        <item h="1" x="37"/>
        <item h="1" x="41"/>
        <item x="30"/>
        <item h="1" x="27"/>
        <item h="1" x="28"/>
        <item x="19"/>
        <item h="1" x="21"/>
        <item h="1" x="12"/>
        <item x="4"/>
        <item h="1" x="26"/>
        <item h="1" x="15"/>
        <item x="16"/>
        <item x="9"/>
        <item h="1" x="33"/>
        <item h="1" x="6"/>
        <item h="1" x="3"/>
        <item h="1" x="1"/>
        <item x="24"/>
        <item h="1" x="2"/>
        <item h="1" x="0"/>
        <item x="38"/>
        <item x="10"/>
        <item h="1" x="29"/>
        <item h="1" x="44"/>
        <item h="1" x="13"/>
        <item h="1" x="40"/>
        <item h="1" x="35"/>
        <item h="1" x="31"/>
        <item h="1" x="11"/>
        <item x="36"/>
        <item h="1" x="42"/>
        <item t="default"/>
      </items>
    </pivotField>
    <pivotField axis="axisRow"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h="1" x="39"/>
        <item h="1" x="36"/>
        <item t="default"/>
      </items>
    </pivotField>
    <pivotField showAll="0"/>
    <pivotField showAll="0"/>
    <pivotField showAll="0"/>
    <pivotField showAll="0">
      <items count="116">
        <item h="1" x="45"/>
        <item h="1" x="114"/>
        <item h="1" x="21"/>
        <item h="1" x="14"/>
        <item h="1" x="63"/>
        <item h="1" x="58"/>
        <item h="1" x="60"/>
        <item h="1" x="75"/>
        <item h="1" x="40"/>
        <item h="1" x="3"/>
        <item h="1" x="33"/>
        <item h="1" x="47"/>
        <item h="1" x="84"/>
        <item h="1" x="11"/>
        <item h="1" x="107"/>
        <item h="1" x="66"/>
        <item h="1" x="57"/>
        <item h="1" x="0"/>
        <item h="1" x="97"/>
        <item h="1" x="44"/>
        <item h="1" x="70"/>
        <item h="1" x="10"/>
        <item h="1" x="25"/>
        <item h="1" x="96"/>
        <item h="1" x="50"/>
        <item h="1" x="23"/>
        <item h="1" x="8"/>
        <item h="1" x="80"/>
        <item h="1" x="7"/>
        <item h="1" x="1"/>
        <item h="1" x="83"/>
        <item h="1" x="39"/>
        <item h="1" x="18"/>
        <item h="1" x="30"/>
        <item h="1" x="103"/>
        <item h="1" x="49"/>
        <item h="1" x="94"/>
        <item h="1" x="17"/>
        <item x="56"/>
        <item h="1" x="78"/>
        <item h="1" x="24"/>
        <item h="1" x="65"/>
        <item h="1" x="52"/>
        <item h="1" x="101"/>
        <item h="1" x="32"/>
        <item h="1" x="20"/>
        <item h="1" x="102"/>
        <item h="1" x="31"/>
        <item h="1" x="5"/>
        <item h="1" x="55"/>
        <item h="1" x="105"/>
        <item h="1" x="62"/>
        <item h="1" x="77"/>
        <item h="1" x="46"/>
        <item h="1" x="109"/>
        <item h="1" x="85"/>
        <item h="1" x="61"/>
        <item h="1" x="72"/>
        <item h="1" x="26"/>
        <item h="1" x="73"/>
        <item h="1" x="42"/>
        <item h="1" x="87"/>
        <item h="1" x="113"/>
        <item h="1" x="104"/>
        <item h="1" x="110"/>
        <item h="1" x="74"/>
        <item h="1" x="29"/>
        <item h="1" x="91"/>
        <item h="1" x="90"/>
        <item h="1" x="86"/>
        <item h="1" x="59"/>
        <item h="1" x="48"/>
        <item h="1" x="19"/>
        <item h="1" x="76"/>
        <item h="1" x="37"/>
        <item h="1" x="51"/>
        <item h="1" x="68"/>
        <item h="1" x="16"/>
        <item h="1" x="69"/>
        <item h="1" x="67"/>
        <item h="1" x="36"/>
        <item h="1" x="111"/>
        <item h="1" x="9"/>
        <item h="1" x="108"/>
        <item h="1" x="99"/>
        <item h="1" x="6"/>
        <item h="1" x="82"/>
        <item h="1" x="35"/>
        <item h="1" x="27"/>
        <item h="1" x="4"/>
        <item h="1" x="64"/>
        <item h="1" x="95"/>
        <item h="1" x="71"/>
        <item h="1" x="92"/>
        <item h="1" x="34"/>
        <item h="1" x="98"/>
        <item h="1" x="15"/>
        <item h="1" x="43"/>
        <item h="1" x="106"/>
        <item h="1" x="41"/>
        <item h="1" x="38"/>
        <item h="1" x="112"/>
        <item h="1" x="54"/>
        <item h="1" x="13"/>
        <item h="1" x="88"/>
        <item h="1" x="79"/>
        <item h="1" x="2"/>
        <item h="1" x="89"/>
        <item h="1" x="12"/>
        <item h="1" x="22"/>
        <item h="1" x="81"/>
        <item h="1" x="93"/>
        <item h="1" x="53"/>
        <item h="1" x="28"/>
        <item h="1" x="100"/>
        <item t="default"/>
      </items>
    </pivotField>
    <pivotField showAll="0">
      <items count="8">
        <item x="5"/>
        <item x="6"/>
        <item x="1"/>
        <item x="2"/>
        <item h="1" x="0"/>
        <item x="3"/>
        <item x="4"/>
        <item t="default"/>
      </items>
    </pivotField>
    <pivotField showAll="0">
      <items count="4">
        <item h="1" x="0"/>
        <item x="1"/>
        <item h="1" x="2"/>
        <item t="default"/>
      </items>
    </pivotField>
    <pivotField showAll="0"/>
    <pivotField showAll="0"/>
    <pivotField showAll="0">
      <items count="6">
        <item x="3"/>
        <item x="1"/>
        <item x="2"/>
        <item x="0"/>
        <item x="4"/>
        <item t="default"/>
      </items>
    </pivotField>
    <pivotField showAll="0"/>
    <pivotField showAll="0">
      <items count="105">
        <item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3"/>
  </rowFields>
  <rowItems count="1">
    <i t="grand">
      <x/>
    </i>
  </rowItems>
  <colFields count="1">
    <field x="-2"/>
  </colFields>
  <colItems count="2">
    <i>
      <x/>
    </i>
    <i i="1">
      <x v="1"/>
    </i>
  </colItems>
  <dataFields count="2">
    <dataField name="Average of Weight (kg)" fld="1" subtotal="average" baseField="3" baseItem="6"/>
    <dataField name="Min of Age" fld="0" subtotal="min" baseField="3" baseItem="6"/>
  </dataFields>
  <chartFormats count="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E005C-EA43-4126-AD4F-D77873FFEC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3" firstHeaderRow="0" firstDataRow="1" firstDataCol="1"/>
  <pivotFields count="15">
    <pivotField axis="axisRow" showAll="0">
      <items count="42">
        <item x="7"/>
        <item x="10"/>
        <item x="21"/>
        <item x="25"/>
        <item x="2"/>
        <item x="13"/>
        <item x="30"/>
        <item x="16"/>
        <item x="1"/>
        <item x="20"/>
        <item x="19"/>
        <item x="36"/>
        <item x="12"/>
        <item x="39"/>
        <item x="18"/>
        <item x="31"/>
        <item x="0"/>
        <item x="24"/>
        <item x="15"/>
        <item x="27"/>
        <item x="4"/>
        <item x="8"/>
        <item x="35"/>
        <item x="29"/>
        <item x="37"/>
        <item x="5"/>
        <item x="33"/>
        <item x="9"/>
        <item x="32"/>
        <item x="26"/>
        <item x="28"/>
        <item x="6"/>
        <item x="22"/>
        <item x="23"/>
        <item x="40"/>
        <item x="3"/>
        <item x="34"/>
        <item x="11"/>
        <item x="38"/>
        <item x="17"/>
        <item x="14"/>
        <item t="default"/>
      </items>
    </pivotField>
    <pivotField dataField="1" showAll="0">
      <items count="99">
        <item x="11"/>
        <item h="1" x="75"/>
        <item h="1" x="42"/>
        <item x="31"/>
        <item h="1" x="55"/>
        <item h="1" x="89"/>
        <item h="1" x="6"/>
        <item x="10"/>
        <item h="1" x="78"/>
        <item h="1" x="87"/>
        <item h="1" x="66"/>
        <item h="1" x="18"/>
        <item h="1" x="61"/>
        <item h="1" x="46"/>
        <item h="1" x="86"/>
        <item h="1" x="65"/>
        <item h="1" x="56"/>
        <item x="4"/>
        <item x="5"/>
        <item h="1" x="92"/>
        <item h="1" x="41"/>
        <item h="1" x="43"/>
        <item x="70"/>
        <item h="1" x="16"/>
        <item h="1" x="88"/>
        <item h="1" x="49"/>
        <item x="64"/>
        <item h="1" x="24"/>
        <item x="94"/>
        <item h="1" x="80"/>
        <item x="54"/>
        <item x="45"/>
        <item h="1" x="74"/>
        <item h="1" x="85"/>
        <item h="1" x="91"/>
        <item h="1" x="29"/>
        <item h="1" x="19"/>
        <item x="48"/>
        <item h="1" x="76"/>
        <item h="1" x="81"/>
        <item x="22"/>
        <item h="1" x="27"/>
        <item h="1" x="2"/>
        <item h="1" x="9"/>
        <item h="1" x="97"/>
        <item h="1" x="68"/>
        <item h="1" x="50"/>
        <item h="1" x="39"/>
        <item x="51"/>
        <item h="1" x="63"/>
        <item h="1" x="82"/>
        <item h="1" x="90"/>
        <item h="1" x="17"/>
        <item h="1" x="14"/>
        <item h="1" x="25"/>
        <item h="1" x="73"/>
        <item h="1" x="79"/>
        <item h="1" x="28"/>
        <item h="1" x="53"/>
        <item h="1" x="37"/>
        <item h="1" x="96"/>
        <item h="1" x="72"/>
        <item h="1" x="3"/>
        <item h="1" x="34"/>
        <item h="1" x="57"/>
        <item h="1" x="35"/>
        <item h="1" x="58"/>
        <item h="1" x="30"/>
        <item x="33"/>
        <item h="1" x="8"/>
        <item h="1" x="38"/>
        <item h="1" x="84"/>
        <item h="1" x="1"/>
        <item h="1" x="62"/>
        <item h="1" x="47"/>
        <item h="1" x="0"/>
        <item h="1" x="95"/>
        <item h="1" x="12"/>
        <item h="1" x="7"/>
        <item h="1" x="67"/>
        <item h="1" x="15"/>
        <item h="1" x="83"/>
        <item h="1" x="44"/>
        <item h="1" x="93"/>
        <item h="1" x="60"/>
        <item h="1" x="69"/>
        <item h="1" x="52"/>
        <item h="1" x="77"/>
        <item h="1" x="21"/>
        <item h="1" x="32"/>
        <item h="1" x="13"/>
        <item h="1" x="40"/>
        <item h="1" x="71"/>
        <item x="26"/>
        <item h="1" x="36"/>
        <item h="1" x="23"/>
        <item h="1" x="20"/>
        <item h="1" x="59"/>
        <item t="default"/>
      </items>
    </pivotField>
    <pivotField showAll="0">
      <items count="46">
        <item h="1" x="20"/>
        <item h="1" x="18"/>
        <item h="1" x="34"/>
        <item x="23"/>
        <item h="1" x="8"/>
        <item h="1" x="17"/>
        <item x="5"/>
        <item h="1" x="43"/>
        <item h="1" x="14"/>
        <item h="1" x="25"/>
        <item h="1" x="39"/>
        <item h="1" x="7"/>
        <item x="32"/>
        <item h="1" x="22"/>
        <item h="1" x="37"/>
        <item h="1" x="41"/>
        <item x="30"/>
        <item h="1" x="27"/>
        <item h="1" x="28"/>
        <item x="19"/>
        <item h="1" x="21"/>
        <item h="1" x="12"/>
        <item x="4"/>
        <item h="1" x="26"/>
        <item h="1" x="15"/>
        <item x="16"/>
        <item x="9"/>
        <item h="1" x="33"/>
        <item h="1" x="6"/>
        <item h="1" x="3"/>
        <item h="1" x="1"/>
        <item x="24"/>
        <item h="1" x="2"/>
        <item h="1" x="0"/>
        <item x="38"/>
        <item x="10"/>
        <item h="1" x="29"/>
        <item h="1" x="44"/>
        <item h="1" x="13"/>
        <item h="1" x="40"/>
        <item h="1" x="35"/>
        <item h="1" x="31"/>
        <item h="1" x="11"/>
        <item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dataField="1" showAll="0"/>
    <pivotField showAll="0"/>
    <pivotField showAll="0">
      <items count="116">
        <item h="1" x="45"/>
        <item h="1" x="114"/>
        <item h="1" x="21"/>
        <item h="1" x="14"/>
        <item h="1" x="63"/>
        <item h="1" x="58"/>
        <item h="1" x="60"/>
        <item h="1" x="75"/>
        <item h="1" x="40"/>
        <item h="1" x="3"/>
        <item h="1" x="33"/>
        <item h="1" x="47"/>
        <item h="1" x="84"/>
        <item h="1" x="11"/>
        <item h="1" x="107"/>
        <item h="1" x="66"/>
        <item h="1" x="57"/>
        <item h="1" x="0"/>
        <item h="1" x="97"/>
        <item h="1" x="44"/>
        <item h="1" x="70"/>
        <item h="1" x="10"/>
        <item h="1" x="25"/>
        <item h="1" x="96"/>
        <item h="1" x="50"/>
        <item h="1" x="23"/>
        <item h="1" x="8"/>
        <item h="1" x="80"/>
        <item h="1" x="7"/>
        <item h="1" x="1"/>
        <item h="1" x="83"/>
        <item h="1" x="39"/>
        <item h="1" x="18"/>
        <item h="1" x="30"/>
        <item h="1" x="103"/>
        <item h="1" x="49"/>
        <item h="1" x="94"/>
        <item h="1" x="17"/>
        <item x="56"/>
        <item h="1" x="78"/>
        <item h="1" x="24"/>
        <item h="1" x="65"/>
        <item h="1" x="52"/>
        <item h="1" x="101"/>
        <item h="1" x="32"/>
        <item h="1" x="20"/>
        <item h="1" x="102"/>
        <item h="1" x="31"/>
        <item h="1" x="5"/>
        <item h="1" x="55"/>
        <item h="1" x="105"/>
        <item h="1" x="62"/>
        <item h="1" x="77"/>
        <item h="1" x="46"/>
        <item h="1" x="109"/>
        <item h="1" x="85"/>
        <item h="1" x="61"/>
        <item h="1" x="72"/>
        <item h="1" x="26"/>
        <item h="1" x="73"/>
        <item h="1" x="42"/>
        <item h="1" x="87"/>
        <item h="1" x="113"/>
        <item h="1" x="104"/>
        <item h="1" x="110"/>
        <item h="1" x="74"/>
        <item h="1" x="29"/>
        <item h="1" x="91"/>
        <item h="1" x="90"/>
        <item h="1" x="86"/>
        <item h="1" x="59"/>
        <item h="1" x="48"/>
        <item h="1" x="19"/>
        <item h="1" x="76"/>
        <item h="1" x="37"/>
        <item h="1" x="51"/>
        <item h="1" x="68"/>
        <item h="1" x="16"/>
        <item h="1" x="69"/>
        <item h="1" x="67"/>
        <item h="1" x="36"/>
        <item h="1" x="111"/>
        <item h="1" x="9"/>
        <item h="1" x="108"/>
        <item h="1" x="99"/>
        <item h="1" x="6"/>
        <item h="1" x="82"/>
        <item h="1" x="35"/>
        <item h="1" x="27"/>
        <item h="1" x="4"/>
        <item h="1" x="64"/>
        <item h="1" x="95"/>
        <item h="1" x="71"/>
        <item h="1" x="92"/>
        <item h="1" x="34"/>
        <item h="1" x="98"/>
        <item h="1" x="15"/>
        <item h="1" x="43"/>
        <item h="1" x="106"/>
        <item h="1" x="41"/>
        <item h="1" x="38"/>
        <item h="1" x="112"/>
        <item h="1" x="54"/>
        <item h="1" x="13"/>
        <item h="1" x="88"/>
        <item h="1" x="79"/>
        <item h="1" x="2"/>
        <item h="1" x="89"/>
        <item h="1" x="12"/>
        <item h="1" x="22"/>
        <item h="1" x="81"/>
        <item h="1" x="93"/>
        <item h="1" x="53"/>
        <item h="1" x="28"/>
        <item h="1" x="100"/>
        <item t="default"/>
      </items>
    </pivotField>
    <pivotField showAll="0"/>
    <pivotField showAll="0">
      <items count="4">
        <item h="1" x="0"/>
        <item x="1"/>
        <item h="1" x="2"/>
        <item t="default"/>
      </items>
    </pivotField>
    <pivotField showAll="0"/>
    <pivotField showAll="0"/>
    <pivotField showAll="0"/>
    <pivotField showAll="0"/>
    <pivotField showAll="0"/>
  </pivotFields>
  <rowFields count="1">
    <field x="0"/>
  </rowFields>
  <rowItems count="2">
    <i>
      <x v="37"/>
    </i>
    <i t="grand">
      <x/>
    </i>
  </rowItems>
  <colFields count="1">
    <field x="-2"/>
  </colFields>
  <colItems count="2">
    <i>
      <x/>
    </i>
    <i i="1">
      <x v="1"/>
    </i>
  </colItems>
  <dataFields count="2">
    <dataField name="Sum of Weight (kg)" fld="1" baseField="0" baseItem="0"/>
    <dataField name="Sum of Resting_BPM" fld="5" baseField="0" baseItem="0"/>
  </dataFields>
  <chartFormats count="4">
    <chartFormat chart="2"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DDAED-D892-4432-8A5D-553B84F76C4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6:C39" firstHeaderRow="0" firstDataRow="1" firstDataCol="1"/>
  <pivotFields count="15">
    <pivotField dataField="1" showAll="0"/>
    <pivotField dataField="1" showAll="0">
      <items count="99">
        <item x="11"/>
        <item h="1" x="75"/>
        <item h="1" x="42"/>
        <item x="31"/>
        <item h="1" x="55"/>
        <item x="89"/>
        <item x="6"/>
        <item h="1" x="10"/>
        <item x="78"/>
        <item x="87"/>
        <item h="1" x="66"/>
        <item h="1" x="18"/>
        <item h="1" x="61"/>
        <item x="46"/>
        <item x="86"/>
        <item h="1" x="65"/>
        <item x="56"/>
        <item x="4"/>
        <item x="5"/>
        <item h="1" x="92"/>
        <item x="41"/>
        <item h="1" x="43"/>
        <item h="1" x="70"/>
        <item h="1" x="16"/>
        <item h="1" x="88"/>
        <item x="49"/>
        <item h="1" x="64"/>
        <item h="1" x="24"/>
        <item x="94"/>
        <item x="80"/>
        <item h="1" x="54"/>
        <item x="45"/>
        <item h="1" x="74"/>
        <item h="1" x="85"/>
        <item h="1" x="91"/>
        <item h="1" x="29"/>
        <item h="1" x="19"/>
        <item x="48"/>
        <item h="1" x="76"/>
        <item h="1" x="81"/>
        <item h="1" x="22"/>
        <item x="27"/>
        <item x="2"/>
        <item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x="30"/>
        <item h="1" x="33"/>
        <item h="1" x="8"/>
        <item h="1" x="38"/>
        <item x="84"/>
        <item h="1" x="1"/>
        <item h="1" x="62"/>
        <item x="47"/>
        <item x="0"/>
        <item h="1" x="95"/>
        <item x="12"/>
        <item h="1" x="7"/>
        <item h="1" x="67"/>
        <item h="1" x="15"/>
        <item h="1" x="83"/>
        <item h="1" x="44"/>
        <item h="1" x="93"/>
        <item x="60"/>
        <item h="1" x="69"/>
        <item h="1" x="52"/>
        <item h="1" x="77"/>
        <item x="21"/>
        <item x="32"/>
        <item h="1" x="13"/>
        <item h="1" x="40"/>
        <item h="1" x="71"/>
        <item h="1" x="26"/>
        <item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h="1"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x="9"/>
        <item h="1" x="74"/>
        <item x="2"/>
        <item x="44"/>
        <item h="1" x="5"/>
        <item h="1" x="98"/>
        <item h="1" x="69"/>
        <item h="1" x="66"/>
        <item h="1" x="14"/>
        <item h="1" x="73"/>
        <item h="1" x="68"/>
        <item h="1" x="102"/>
        <item x="0"/>
        <item h="1" x="12"/>
        <item h="1" x="22"/>
        <item h="1" x="75"/>
        <item h="1" x="99"/>
        <item x="42"/>
        <item h="1" x="45"/>
        <item h="1" x="77"/>
        <item h="1" x="11"/>
        <item h="1" x="62"/>
        <item h="1" x="49"/>
        <item h="1" x="52"/>
        <item h="1" x="65"/>
        <item h="1" x="34"/>
        <item h="1" x="23"/>
        <item h="1" x="53"/>
        <item h="1" x="80"/>
        <item h="1" x="92"/>
        <item h="1" x="72"/>
        <item h="1" x="27"/>
        <item h="1" x="41"/>
        <item x="25"/>
        <item h="1" x="83"/>
        <item h="1" x="29"/>
        <item h="1" x="36"/>
        <item h="1" x="21"/>
        <item h="1" x="6"/>
        <item h="1" x="19"/>
        <item h="1" x="40"/>
        <item h="1" x="64"/>
        <item h="1" x="28"/>
        <item h="1" x="71"/>
        <item h="1" x="91"/>
        <item h="1" x="56"/>
        <item h="1" x="32"/>
        <item h="1" x="43"/>
        <item h="1" x="96"/>
        <item h="1" x="13"/>
        <item h="1" x="7"/>
        <item h="1" x="31"/>
        <item h="1" x="46"/>
        <item h="1" x="50"/>
        <item h="1" x="101"/>
        <item h="1" x="54"/>
        <item h="1" x="81"/>
        <item h="1" x="85"/>
        <item h="1" x="100"/>
        <item h="1" x="3"/>
        <item h="1" x="55"/>
        <item h="1" x="26"/>
        <item h="1" x="94"/>
        <item h="1" x="103"/>
        <item h="1" x="84"/>
        <item h="1" x="4"/>
        <item h="1" x="61"/>
        <item h="1" x="18"/>
        <item h="1" x="35"/>
        <item h="1" x="70"/>
        <item h="1" x="88"/>
        <item h="1" x="37"/>
        <item h="1" x="15"/>
        <item h="1" x="17"/>
        <item h="1" x="63"/>
        <item h="1" x="76"/>
        <item h="1" x="33"/>
        <item h="1" x="58"/>
        <item h="1" x="16"/>
        <item h="1" x="97"/>
        <item h="1" x="38"/>
        <item h="1" x="60"/>
        <item h="1" x="24"/>
        <item h="1" x="82"/>
        <item h="1" x="93"/>
        <item h="1" x="89"/>
        <item h="1" x="20"/>
        <item h="1" x="86"/>
        <item h="1" x="59"/>
        <item h="1" x="57"/>
        <item h="1" x="39"/>
        <item h="1" x="30"/>
        <item h="1" x="10"/>
        <item h="1" x="51"/>
        <item h="1" x="79"/>
        <item h="1" x="67"/>
        <item h="1" x="90"/>
        <item h="1" x="1"/>
        <item h="1" x="87"/>
        <item h="1" x="95"/>
        <item h="1" x="47"/>
        <item h="1" x="48"/>
        <item h="1" x="8"/>
        <item h="1" x="78"/>
        <item t="default"/>
      </items>
    </pivotField>
  </pivotFields>
  <rowFields count="1">
    <field x="9"/>
  </rowFields>
  <rowItems count="3">
    <i>
      <x/>
    </i>
    <i>
      <x v="1"/>
    </i>
    <i t="grand">
      <x/>
    </i>
  </rowItems>
  <colFields count="1">
    <field x="-2"/>
  </colFields>
  <colItems count="2">
    <i>
      <x/>
    </i>
    <i i="1">
      <x v="1"/>
    </i>
  </colItems>
  <dataFields count="2">
    <dataField name="Average of Weight (kg)" fld="1" subtotal="average" baseField="9" baseItem="0"/>
    <dataField name="Min of Age" fld="0" subtotal="min" baseField="9" baseItem="0"/>
  </dataFields>
  <chartFormats count="18">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9" count="1" selected="0">
            <x v="0"/>
          </reference>
        </references>
      </pivotArea>
    </chartFormat>
    <chartFormat chart="13" format="3">
      <pivotArea type="data" outline="0" fieldPosition="0">
        <references count="2">
          <reference field="4294967294" count="1" selected="0">
            <x v="0"/>
          </reference>
          <reference field="9" count="1" selected="0">
            <x v="1"/>
          </reference>
        </references>
      </pivotArea>
    </chartFormat>
    <chartFormat chart="13" format="4">
      <pivotArea type="data" outline="0" fieldPosition="0">
        <references count="2">
          <reference field="4294967294" count="1" selected="0">
            <x v="1"/>
          </reference>
          <reference field="9" count="1" selected="0">
            <x v="0"/>
          </reference>
        </references>
      </pivotArea>
    </chartFormat>
    <chartFormat chart="13" format="5">
      <pivotArea type="data" outline="0" fieldPosition="0">
        <references count="2">
          <reference field="4294967294" count="1" selected="0">
            <x v="1"/>
          </reference>
          <reference field="9"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9" count="1" selected="0">
            <x v="0"/>
          </reference>
        </references>
      </pivotArea>
    </chartFormat>
    <chartFormat chart="25" format="22">
      <pivotArea type="data" outline="0" fieldPosition="0">
        <references count="2">
          <reference field="4294967294" count="1" selected="0">
            <x v="0"/>
          </reference>
          <reference field="9" count="1" selected="0">
            <x v="1"/>
          </reference>
        </references>
      </pivotArea>
    </chartFormat>
    <chartFormat chart="25" format="23" series="1">
      <pivotArea type="data" outline="0" fieldPosition="0">
        <references count="1">
          <reference field="4294967294" count="1" selected="0">
            <x v="1"/>
          </reference>
        </references>
      </pivotArea>
    </chartFormat>
    <chartFormat chart="25" format="24">
      <pivotArea type="data" outline="0" fieldPosition="0">
        <references count="2">
          <reference field="4294967294" count="1" selected="0">
            <x v="1"/>
          </reference>
          <reference field="9" count="1" selected="0">
            <x v="0"/>
          </reference>
        </references>
      </pivotArea>
    </chartFormat>
    <chartFormat chart="25" format="25">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AA0AF5-E2DB-4FD5-BD35-D002A2DC88D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27:N30" firstHeaderRow="0" firstDataRow="1" firstDataCol="1"/>
  <pivotFields count="15">
    <pivotField showAll="0"/>
    <pivotField dataField="1" showAll="0">
      <items count="99">
        <item x="11"/>
        <item h="1" x="75"/>
        <item h="1" x="42"/>
        <item x="31"/>
        <item h="1" x="55"/>
        <item x="89"/>
        <item x="6"/>
        <item h="1" x="10"/>
        <item x="78"/>
        <item x="87"/>
        <item h="1" x="66"/>
        <item h="1" x="18"/>
        <item h="1" x="61"/>
        <item x="46"/>
        <item x="86"/>
        <item h="1" x="65"/>
        <item x="56"/>
        <item x="4"/>
        <item x="5"/>
        <item h="1" x="92"/>
        <item x="41"/>
        <item h="1" x="43"/>
        <item h="1" x="70"/>
        <item h="1" x="16"/>
        <item h="1" x="88"/>
        <item x="49"/>
        <item h="1" x="64"/>
        <item h="1" x="24"/>
        <item x="94"/>
        <item x="80"/>
        <item h="1" x="54"/>
        <item x="45"/>
        <item h="1" x="74"/>
        <item h="1" x="85"/>
        <item h="1" x="91"/>
        <item h="1" x="29"/>
        <item h="1" x="19"/>
        <item x="48"/>
        <item h="1" x="76"/>
        <item h="1" x="81"/>
        <item h="1" x="22"/>
        <item x="27"/>
        <item x="2"/>
        <item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x="30"/>
        <item h="1" x="33"/>
        <item h="1" x="8"/>
        <item h="1" x="38"/>
        <item x="84"/>
        <item h="1" x="1"/>
        <item h="1" x="62"/>
        <item x="47"/>
        <item x="0"/>
        <item h="1" x="95"/>
        <item x="12"/>
        <item h="1" x="7"/>
        <item h="1" x="67"/>
        <item h="1" x="15"/>
        <item h="1" x="83"/>
        <item h="1" x="44"/>
        <item h="1" x="93"/>
        <item x="60"/>
        <item h="1" x="69"/>
        <item h="1" x="52"/>
        <item h="1" x="77"/>
        <item x="21"/>
        <item x="32"/>
        <item h="1" x="13"/>
        <item h="1" x="40"/>
        <item h="1" x="71"/>
        <item h="1" x="26"/>
        <item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dataField="1"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h="1"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x="9"/>
        <item h="1" x="74"/>
        <item x="2"/>
        <item x="44"/>
        <item h="1" x="5"/>
        <item h="1" x="98"/>
        <item h="1" x="69"/>
        <item h="1" x="66"/>
        <item h="1" x="14"/>
        <item h="1" x="73"/>
        <item h="1" x="68"/>
        <item h="1" x="102"/>
        <item x="0"/>
        <item h="1" x="12"/>
        <item h="1" x="22"/>
        <item h="1" x="75"/>
        <item h="1" x="99"/>
        <item x="42"/>
        <item h="1" x="45"/>
        <item h="1" x="77"/>
        <item h="1" x="11"/>
        <item h="1" x="62"/>
        <item h="1" x="49"/>
        <item h="1" x="52"/>
        <item h="1" x="65"/>
        <item h="1" x="34"/>
        <item h="1" x="23"/>
        <item h="1" x="53"/>
        <item h="1" x="80"/>
        <item h="1" x="92"/>
        <item h="1" x="72"/>
        <item h="1" x="27"/>
        <item h="1" x="41"/>
        <item x="25"/>
        <item h="1" x="83"/>
        <item h="1" x="29"/>
        <item h="1" x="36"/>
        <item h="1" x="21"/>
        <item h="1" x="6"/>
        <item h="1" x="19"/>
        <item h="1" x="40"/>
        <item h="1" x="64"/>
        <item h="1" x="28"/>
        <item h="1" x="71"/>
        <item h="1" x="91"/>
        <item h="1" x="56"/>
        <item h="1" x="32"/>
        <item h="1" x="43"/>
        <item h="1" x="96"/>
        <item h="1" x="13"/>
        <item h="1" x="7"/>
        <item h="1" x="31"/>
        <item h="1" x="46"/>
        <item h="1" x="50"/>
        <item h="1" x="101"/>
        <item h="1" x="54"/>
        <item h="1" x="81"/>
        <item h="1" x="85"/>
        <item h="1" x="100"/>
        <item h="1" x="3"/>
        <item h="1" x="55"/>
        <item h="1" x="26"/>
        <item h="1" x="94"/>
        <item h="1" x="103"/>
        <item h="1" x="84"/>
        <item h="1" x="4"/>
        <item h="1" x="61"/>
        <item h="1" x="18"/>
        <item h="1" x="35"/>
        <item h="1" x="70"/>
        <item h="1" x="88"/>
        <item h="1" x="37"/>
        <item h="1" x="15"/>
        <item h="1" x="17"/>
        <item h="1" x="63"/>
        <item h="1" x="76"/>
        <item h="1" x="33"/>
        <item h="1" x="58"/>
        <item h="1" x="16"/>
        <item h="1" x="97"/>
        <item h="1" x="38"/>
        <item h="1" x="60"/>
        <item h="1" x="24"/>
        <item h="1" x="82"/>
        <item h="1" x="93"/>
        <item h="1" x="89"/>
        <item h="1" x="20"/>
        <item h="1" x="86"/>
        <item h="1" x="59"/>
        <item h="1" x="57"/>
        <item h="1" x="39"/>
        <item h="1" x="30"/>
        <item h="1" x="10"/>
        <item h="1" x="51"/>
        <item h="1" x="79"/>
        <item h="1" x="67"/>
        <item h="1" x="90"/>
        <item h="1" x="1"/>
        <item h="1" x="87"/>
        <item h="1" x="95"/>
        <item h="1" x="47"/>
        <item h="1" x="48"/>
        <item h="1" x="8"/>
        <item h="1" x="78"/>
        <item t="default"/>
      </items>
    </pivotField>
  </pivotFields>
  <rowFields count="1">
    <field x="9"/>
  </rowFields>
  <rowItems count="3">
    <i>
      <x/>
    </i>
    <i>
      <x v="1"/>
    </i>
    <i t="grand">
      <x/>
    </i>
  </rowItems>
  <colFields count="1">
    <field x="-2"/>
  </colFields>
  <colItems count="2">
    <i>
      <x/>
    </i>
    <i i="1">
      <x v="1"/>
    </i>
  </colItems>
  <dataFields count="2">
    <dataField name="Sum of Weight (kg)" fld="1" baseField="0" baseItem="0"/>
    <dataField name="Sum of Resting_BPM" fld="5"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D7598A-F835-4503-B980-4E2FBCDD2BA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M3:O6" firstHeaderRow="0" firstDataRow="1" firstDataCol="1"/>
  <pivotFields count="15">
    <pivotField showAll="0"/>
    <pivotField dataField="1" showAll="0">
      <items count="99">
        <item x="11"/>
        <item h="1" x="75"/>
        <item h="1" x="42"/>
        <item x="31"/>
        <item h="1" x="55"/>
        <item x="89"/>
        <item x="6"/>
        <item h="1" x="10"/>
        <item x="78"/>
        <item x="87"/>
        <item h="1" x="66"/>
        <item h="1" x="18"/>
        <item h="1" x="61"/>
        <item x="46"/>
        <item x="86"/>
        <item h="1" x="65"/>
        <item x="56"/>
        <item x="4"/>
        <item x="5"/>
        <item h="1" x="92"/>
        <item x="41"/>
        <item h="1" x="43"/>
        <item h="1" x="70"/>
        <item h="1" x="16"/>
        <item h="1" x="88"/>
        <item x="49"/>
        <item h="1" x="64"/>
        <item h="1" x="24"/>
        <item x="94"/>
        <item x="80"/>
        <item h="1" x="54"/>
        <item x="45"/>
        <item h="1" x="74"/>
        <item h="1" x="85"/>
        <item h="1" x="91"/>
        <item h="1" x="29"/>
        <item h="1" x="19"/>
        <item x="48"/>
        <item h="1" x="76"/>
        <item h="1" x="81"/>
        <item h="1" x="22"/>
        <item x="27"/>
        <item x="2"/>
        <item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x="30"/>
        <item h="1" x="33"/>
        <item h="1" x="8"/>
        <item h="1" x="38"/>
        <item x="84"/>
        <item h="1" x="1"/>
        <item h="1" x="62"/>
        <item x="47"/>
        <item x="0"/>
        <item h="1" x="95"/>
        <item x="12"/>
        <item h="1" x="7"/>
        <item h="1" x="67"/>
        <item h="1" x="15"/>
        <item h="1" x="83"/>
        <item h="1" x="44"/>
        <item h="1" x="93"/>
        <item x="60"/>
        <item h="1" x="69"/>
        <item h="1" x="52"/>
        <item h="1" x="77"/>
        <item x="21"/>
        <item x="32"/>
        <item h="1" x="13"/>
        <item h="1" x="40"/>
        <item h="1" x="71"/>
        <item h="1" x="26"/>
        <item x="36"/>
        <item h="1" x="23"/>
        <item h="1" x="20"/>
        <item h="1" x="59"/>
        <item t="default"/>
      </items>
    </pivotField>
    <pivotField dataField="1"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h="1"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x="9"/>
        <item h="1" x="74"/>
        <item x="2"/>
        <item x="44"/>
        <item h="1" x="5"/>
        <item h="1" x="98"/>
        <item h="1" x="69"/>
        <item h="1" x="66"/>
        <item h="1" x="14"/>
        <item h="1" x="73"/>
        <item h="1" x="68"/>
        <item h="1" x="102"/>
        <item x="0"/>
        <item h="1" x="12"/>
        <item h="1" x="22"/>
        <item h="1" x="75"/>
        <item h="1" x="99"/>
        <item x="42"/>
        <item h="1" x="45"/>
        <item h="1" x="77"/>
        <item h="1" x="11"/>
        <item h="1" x="62"/>
        <item h="1" x="49"/>
        <item h="1" x="52"/>
        <item h="1" x="65"/>
        <item h="1" x="34"/>
        <item h="1" x="23"/>
        <item h="1" x="53"/>
        <item h="1" x="80"/>
        <item h="1" x="92"/>
        <item h="1" x="72"/>
        <item h="1" x="27"/>
        <item h="1" x="41"/>
        <item x="25"/>
        <item h="1" x="83"/>
        <item h="1" x="29"/>
        <item h="1" x="36"/>
        <item h="1" x="21"/>
        <item h="1" x="6"/>
        <item h="1" x="19"/>
        <item h="1" x="40"/>
        <item h="1" x="64"/>
        <item h="1" x="28"/>
        <item h="1" x="71"/>
        <item h="1" x="91"/>
        <item h="1" x="56"/>
        <item h="1" x="32"/>
        <item h="1" x="43"/>
        <item h="1" x="96"/>
        <item h="1" x="13"/>
        <item h="1" x="7"/>
        <item h="1" x="31"/>
        <item h="1" x="46"/>
        <item h="1" x="50"/>
        <item h="1" x="101"/>
        <item h="1" x="54"/>
        <item h="1" x="81"/>
        <item h="1" x="85"/>
        <item h="1" x="100"/>
        <item h="1" x="3"/>
        <item h="1" x="55"/>
        <item h="1" x="26"/>
        <item h="1" x="94"/>
        <item h="1" x="103"/>
        <item h="1" x="84"/>
        <item h="1" x="4"/>
        <item h="1" x="61"/>
        <item h="1" x="18"/>
        <item h="1" x="35"/>
        <item h="1" x="70"/>
        <item h="1" x="88"/>
        <item h="1" x="37"/>
        <item h="1" x="15"/>
        <item h="1" x="17"/>
        <item h="1" x="63"/>
        <item h="1" x="76"/>
        <item h="1" x="33"/>
        <item h="1" x="58"/>
        <item h="1" x="16"/>
        <item h="1" x="97"/>
        <item h="1" x="38"/>
        <item h="1" x="60"/>
        <item h="1" x="24"/>
        <item h="1" x="82"/>
        <item h="1" x="93"/>
        <item h="1" x="89"/>
        <item h="1" x="20"/>
        <item h="1" x="86"/>
        <item h="1" x="59"/>
        <item h="1" x="57"/>
        <item h="1" x="39"/>
        <item h="1" x="30"/>
        <item h="1" x="10"/>
        <item h="1" x="51"/>
        <item h="1" x="79"/>
        <item h="1" x="67"/>
        <item h="1" x="90"/>
        <item h="1" x="1"/>
        <item h="1" x="87"/>
        <item h="1" x="95"/>
        <item h="1" x="47"/>
        <item h="1" x="48"/>
        <item h="1" x="8"/>
        <item h="1" x="78"/>
        <item t="default"/>
      </items>
    </pivotField>
  </pivotFields>
  <rowFields count="1">
    <field x="9"/>
  </rowFields>
  <rowItems count="3">
    <i>
      <x/>
    </i>
    <i>
      <x v="1"/>
    </i>
    <i t="grand">
      <x/>
    </i>
  </rowItems>
  <colFields count="1">
    <field x="-2"/>
  </colFields>
  <colItems count="2">
    <i>
      <x/>
    </i>
    <i i="1">
      <x v="1"/>
    </i>
  </colItems>
  <dataFields count="2">
    <dataField name="Sum of Height (m)" fld="2" baseField="0" baseItem="0"/>
    <dataField name="Sum of Weight (kg)" fld="1" baseField="0" baseItem="0"/>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47B3C1-F2EA-4C72-87BF-E232672A56C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5">
    <pivotField showAll="0"/>
    <pivotField showAll="0">
      <items count="99">
        <item x="11"/>
        <item h="1" x="75"/>
        <item h="1" x="42"/>
        <item x="31"/>
        <item h="1" x="55"/>
        <item x="89"/>
        <item x="6"/>
        <item h="1" x="10"/>
        <item x="78"/>
        <item x="87"/>
        <item h="1" x="66"/>
        <item h="1" x="18"/>
        <item h="1" x="61"/>
        <item x="46"/>
        <item x="86"/>
        <item h="1" x="65"/>
        <item x="56"/>
        <item x="4"/>
        <item x="5"/>
        <item h="1" x="92"/>
        <item x="41"/>
        <item h="1" x="43"/>
        <item h="1" x="70"/>
        <item h="1" x="16"/>
        <item h="1" x="88"/>
        <item x="49"/>
        <item h="1" x="64"/>
        <item h="1" x="24"/>
        <item x="94"/>
        <item x="80"/>
        <item h="1" x="54"/>
        <item x="45"/>
        <item h="1" x="74"/>
        <item h="1" x="85"/>
        <item h="1" x="91"/>
        <item h="1" x="29"/>
        <item h="1" x="19"/>
        <item x="48"/>
        <item h="1" x="76"/>
        <item h="1" x="81"/>
        <item h="1" x="22"/>
        <item x="27"/>
        <item x="2"/>
        <item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x="30"/>
        <item h="1" x="33"/>
        <item h="1" x="8"/>
        <item h="1" x="38"/>
        <item x="84"/>
        <item h="1" x="1"/>
        <item h="1" x="62"/>
        <item x="47"/>
        <item x="0"/>
        <item h="1" x="95"/>
        <item x="12"/>
        <item h="1" x="7"/>
        <item h="1" x="67"/>
        <item h="1" x="15"/>
        <item h="1" x="83"/>
        <item h="1" x="44"/>
        <item h="1" x="93"/>
        <item x="60"/>
        <item h="1" x="69"/>
        <item h="1" x="52"/>
        <item h="1" x="77"/>
        <item x="21"/>
        <item x="32"/>
        <item h="1" x="13"/>
        <item h="1" x="40"/>
        <item h="1" x="71"/>
        <item h="1" x="26"/>
        <item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h="1" x="2"/>
        <item x="0"/>
        <item x="3"/>
        <item h="1" x="4"/>
        <item t="default"/>
      </items>
    </pivotField>
    <pivotField axis="axisRow" showAll="0">
      <items count="4">
        <item x="0"/>
        <item x="1"/>
        <item h="1" x="2"/>
        <item t="default"/>
      </items>
    </pivotField>
    <pivotField showAll="0"/>
    <pivotField dataField="1" showAll="0"/>
    <pivotField showAll="0"/>
    <pivotField showAll="0"/>
    <pivotField showAll="0">
      <items count="105">
        <item x="9"/>
        <item h="1" x="74"/>
        <item x="2"/>
        <item x="44"/>
        <item h="1" x="5"/>
        <item h="1" x="98"/>
        <item h="1" x="69"/>
        <item h="1" x="66"/>
        <item h="1" x="14"/>
        <item h="1" x="73"/>
        <item h="1" x="68"/>
        <item h="1" x="102"/>
        <item x="0"/>
        <item h="1" x="12"/>
        <item h="1" x="22"/>
        <item h="1" x="75"/>
        <item h="1" x="99"/>
        <item x="42"/>
        <item h="1" x="45"/>
        <item h="1" x="77"/>
        <item h="1" x="11"/>
        <item h="1" x="62"/>
        <item h="1" x="49"/>
        <item h="1" x="52"/>
        <item h="1" x="65"/>
        <item h="1" x="34"/>
        <item h="1" x="23"/>
        <item h="1" x="53"/>
        <item h="1" x="80"/>
        <item h="1" x="92"/>
        <item h="1" x="72"/>
        <item h="1" x="27"/>
        <item h="1" x="41"/>
        <item x="25"/>
        <item h="1" x="83"/>
        <item h="1" x="29"/>
        <item h="1" x="36"/>
        <item h="1" x="21"/>
        <item h="1" x="6"/>
        <item h="1" x="19"/>
        <item h="1" x="40"/>
        <item h="1" x="64"/>
        <item h="1" x="28"/>
        <item h="1" x="71"/>
        <item h="1" x="91"/>
        <item h="1" x="56"/>
        <item h="1" x="32"/>
        <item h="1" x="43"/>
        <item h="1" x="96"/>
        <item h="1" x="13"/>
        <item h="1" x="7"/>
        <item h="1" x="31"/>
        <item h="1" x="46"/>
        <item h="1" x="50"/>
        <item h="1" x="101"/>
        <item h="1" x="54"/>
        <item h="1" x="81"/>
        <item h="1" x="85"/>
        <item h="1" x="100"/>
        <item h="1" x="3"/>
        <item h="1" x="55"/>
        <item h="1" x="26"/>
        <item h="1" x="94"/>
        <item h="1" x="103"/>
        <item h="1" x="84"/>
        <item h="1" x="4"/>
        <item h="1" x="61"/>
        <item h="1" x="18"/>
        <item h="1" x="35"/>
        <item h="1" x="70"/>
        <item h="1" x="88"/>
        <item h="1" x="37"/>
        <item h="1" x="15"/>
        <item h="1" x="17"/>
        <item h="1" x="63"/>
        <item h="1" x="76"/>
        <item h="1" x="33"/>
        <item h="1" x="58"/>
        <item h="1" x="16"/>
        <item h="1" x="97"/>
        <item h="1" x="38"/>
        <item h="1" x="60"/>
        <item h="1" x="24"/>
        <item h="1" x="82"/>
        <item h="1" x="93"/>
        <item h="1" x="89"/>
        <item h="1" x="20"/>
        <item h="1" x="86"/>
        <item h="1" x="59"/>
        <item h="1" x="57"/>
        <item h="1" x="39"/>
        <item h="1" x="30"/>
        <item h="1" x="10"/>
        <item h="1" x="51"/>
        <item h="1" x="79"/>
        <item h="1" x="67"/>
        <item h="1" x="90"/>
        <item h="1" x="1"/>
        <item h="1" x="87"/>
        <item h="1" x="95"/>
        <item h="1" x="47"/>
        <item h="1" x="48"/>
        <item h="1" x="8"/>
        <item h="1" x="78"/>
        <item t="default"/>
      </items>
    </pivotField>
  </pivotFields>
  <rowFields count="1">
    <field x="9"/>
  </rowFields>
  <rowItems count="3">
    <i>
      <x/>
    </i>
    <i>
      <x v="1"/>
    </i>
    <i t="grand">
      <x/>
    </i>
  </rowItems>
  <colItems count="1">
    <i/>
  </colItems>
  <dataFields count="1">
    <dataField name="Sum of Water_Intake (liters)" fld="11"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8C9343-5767-4588-9115-EA9B0B5456E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5:C49" firstHeaderRow="0" firstDataRow="1" firstDataCol="1"/>
  <pivotFields count="15">
    <pivotField showAll="0"/>
    <pivotField showAll="0">
      <items count="99">
        <item x="11"/>
        <item h="1" x="75"/>
        <item h="1" x="42"/>
        <item x="31"/>
        <item h="1" x="55"/>
        <item x="89"/>
        <item x="6"/>
        <item h="1" x="10"/>
        <item x="78"/>
        <item x="87"/>
        <item h="1" x="66"/>
        <item h="1" x="18"/>
        <item h="1" x="61"/>
        <item x="46"/>
        <item x="86"/>
        <item h="1" x="65"/>
        <item x="56"/>
        <item x="4"/>
        <item x="5"/>
        <item h="1" x="92"/>
        <item x="41"/>
        <item h="1" x="43"/>
        <item h="1" x="70"/>
        <item h="1" x="16"/>
        <item h="1" x="88"/>
        <item x="49"/>
        <item h="1" x="64"/>
        <item h="1" x="24"/>
        <item x="94"/>
        <item x="80"/>
        <item h="1" x="54"/>
        <item x="45"/>
        <item h="1" x="74"/>
        <item h="1" x="85"/>
        <item h="1" x="91"/>
        <item h="1" x="29"/>
        <item h="1" x="19"/>
        <item x="48"/>
        <item h="1" x="76"/>
        <item h="1" x="81"/>
        <item h="1" x="22"/>
        <item x="27"/>
        <item x="2"/>
        <item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x="30"/>
        <item h="1" x="33"/>
        <item h="1" x="8"/>
        <item h="1" x="38"/>
        <item x="84"/>
        <item h="1" x="1"/>
        <item h="1" x="62"/>
        <item x="47"/>
        <item x="0"/>
        <item h="1" x="95"/>
        <item x="12"/>
        <item h="1" x="7"/>
        <item h="1" x="67"/>
        <item h="1" x="15"/>
        <item h="1" x="83"/>
        <item h="1" x="44"/>
        <item h="1" x="93"/>
        <item x="60"/>
        <item h="1" x="69"/>
        <item h="1" x="52"/>
        <item h="1" x="77"/>
        <item x="21"/>
        <item x="32"/>
        <item h="1" x="13"/>
        <item h="1" x="40"/>
        <item h="1" x="71"/>
        <item h="1" x="26"/>
        <item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dataField="1"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dataField="1"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axis="axisRow" showAll="0">
      <items count="8">
        <item h="1" x="5"/>
        <item h="1" x="6"/>
        <item x="1"/>
        <item h="1" x="2"/>
        <item x="0"/>
        <item x="3"/>
        <item h="1" x="4"/>
        <item t="default"/>
      </items>
    </pivotField>
    <pivotField showAll="0">
      <items count="4">
        <item x="0"/>
        <item x="1"/>
        <item h="1" x="2"/>
        <item t="default"/>
      </items>
    </pivotField>
    <pivotField showAll="0"/>
    <pivotField showAll="0"/>
    <pivotField showAll="0"/>
    <pivotField showAll="0"/>
    <pivotField showAll="0">
      <items count="105">
        <item x="9"/>
        <item h="1" x="74"/>
        <item x="2"/>
        <item x="44"/>
        <item h="1" x="5"/>
        <item h="1" x="98"/>
        <item h="1" x="69"/>
        <item h="1" x="66"/>
        <item h="1" x="14"/>
        <item h="1" x="73"/>
        <item h="1" x="68"/>
        <item h="1" x="102"/>
        <item x="0"/>
        <item h="1" x="12"/>
        <item h="1" x="22"/>
        <item h="1" x="75"/>
        <item h="1" x="99"/>
        <item x="42"/>
        <item h="1" x="45"/>
        <item h="1" x="77"/>
        <item h="1" x="11"/>
        <item h="1" x="62"/>
        <item h="1" x="49"/>
        <item h="1" x="52"/>
        <item h="1" x="65"/>
        <item h="1" x="34"/>
        <item h="1" x="23"/>
        <item h="1" x="53"/>
        <item h="1" x="80"/>
        <item h="1" x="92"/>
        <item h="1" x="72"/>
        <item h="1" x="27"/>
        <item h="1" x="41"/>
        <item x="25"/>
        <item h="1" x="83"/>
        <item h="1" x="29"/>
        <item h="1" x="36"/>
        <item h="1" x="21"/>
        <item h="1" x="6"/>
        <item h="1" x="19"/>
        <item h="1" x="40"/>
        <item h="1" x="64"/>
        <item h="1" x="28"/>
        <item h="1" x="71"/>
        <item h="1" x="91"/>
        <item h="1" x="56"/>
        <item h="1" x="32"/>
        <item h="1" x="43"/>
        <item h="1" x="96"/>
        <item h="1" x="13"/>
        <item h="1" x="7"/>
        <item h="1" x="31"/>
        <item h="1" x="46"/>
        <item h="1" x="50"/>
        <item h="1" x="101"/>
        <item h="1" x="54"/>
        <item h="1" x="81"/>
        <item h="1" x="85"/>
        <item h="1" x="100"/>
        <item h="1" x="3"/>
        <item h="1" x="55"/>
        <item h="1" x="26"/>
        <item h="1" x="94"/>
        <item h="1" x="103"/>
        <item h="1" x="84"/>
        <item h="1" x="4"/>
        <item h="1" x="61"/>
        <item h="1" x="18"/>
        <item h="1" x="35"/>
        <item h="1" x="70"/>
        <item h="1" x="88"/>
        <item h="1" x="37"/>
        <item h="1" x="15"/>
        <item h="1" x="17"/>
        <item h="1" x="63"/>
        <item h="1" x="76"/>
        <item h="1" x="33"/>
        <item h="1" x="58"/>
        <item h="1" x="16"/>
        <item h="1" x="97"/>
        <item h="1" x="38"/>
        <item h="1" x="60"/>
        <item h="1" x="24"/>
        <item h="1" x="82"/>
        <item h="1" x="93"/>
        <item h="1" x="89"/>
        <item h="1" x="20"/>
        <item h="1" x="86"/>
        <item h="1" x="59"/>
        <item h="1" x="57"/>
        <item h="1" x="39"/>
        <item h="1" x="30"/>
        <item h="1" x="10"/>
        <item h="1" x="51"/>
        <item h="1" x="79"/>
        <item h="1" x="67"/>
        <item h="1" x="90"/>
        <item h="1" x="1"/>
        <item h="1" x="87"/>
        <item h="1" x="95"/>
        <item h="1" x="47"/>
        <item h="1" x="48"/>
        <item h="1" x="8"/>
        <item h="1" x="78"/>
        <item t="default"/>
      </items>
    </pivotField>
  </pivotFields>
  <rowFields count="1">
    <field x="8"/>
  </rowFields>
  <rowItems count="4">
    <i>
      <x v="2"/>
    </i>
    <i>
      <x v="4"/>
    </i>
    <i>
      <x v="5"/>
    </i>
    <i t="grand">
      <x/>
    </i>
  </rowItems>
  <colFields count="1">
    <field x="-2"/>
  </colFields>
  <colItems count="2">
    <i>
      <x/>
    </i>
    <i i="1">
      <x v="1"/>
    </i>
  </colItems>
  <dataFields count="2">
    <dataField name="Average of Calories_Burned" fld="7" subtotal="average" baseField="8" baseItem="5"/>
    <dataField name="Average of Max_BPM" fld="3" subtotal="average" baseField="8" baseItem="5"/>
  </dataFields>
  <chartFormats count="2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8" count="1" selected="0">
            <x v="2"/>
          </reference>
        </references>
      </pivotArea>
    </chartFormat>
    <chartFormat chart="16" format="3">
      <pivotArea type="data" outline="0" fieldPosition="0">
        <references count="2">
          <reference field="4294967294" count="1" selected="0">
            <x v="0"/>
          </reference>
          <reference field="8" count="1" selected="0">
            <x v="3"/>
          </reference>
        </references>
      </pivotArea>
    </chartFormat>
    <chartFormat chart="16" format="4">
      <pivotArea type="data" outline="0" fieldPosition="0">
        <references count="2">
          <reference field="4294967294" count="1" selected="0">
            <x v="0"/>
          </reference>
          <reference field="8" count="1" selected="0">
            <x v="4"/>
          </reference>
        </references>
      </pivotArea>
    </chartFormat>
    <chartFormat chart="16" format="5">
      <pivotArea type="data" outline="0" fieldPosition="0">
        <references count="2">
          <reference field="4294967294" count="1" selected="0">
            <x v="0"/>
          </reference>
          <reference field="8" count="1" selected="0">
            <x v="5"/>
          </reference>
        </references>
      </pivotArea>
    </chartFormat>
    <chartFormat chart="16" format="6">
      <pivotArea type="data" outline="0" fieldPosition="0">
        <references count="2">
          <reference field="4294967294" count="1" selected="0">
            <x v="1"/>
          </reference>
          <reference field="8" count="1" selected="0">
            <x v="2"/>
          </reference>
        </references>
      </pivotArea>
    </chartFormat>
    <chartFormat chart="16" format="7">
      <pivotArea type="data" outline="0" fieldPosition="0">
        <references count="2">
          <reference field="4294967294" count="1" selected="0">
            <x v="1"/>
          </reference>
          <reference field="8" count="1" selected="0">
            <x v="3"/>
          </reference>
        </references>
      </pivotArea>
    </chartFormat>
    <chartFormat chart="16" format="8">
      <pivotArea type="data" outline="0" fieldPosition="0">
        <references count="2">
          <reference field="4294967294" count="1" selected="0">
            <x v="1"/>
          </reference>
          <reference field="8" count="1" selected="0">
            <x v="4"/>
          </reference>
        </references>
      </pivotArea>
    </chartFormat>
    <chartFormat chart="16" format="9">
      <pivotArea type="data" outline="0" fieldPosition="0">
        <references count="2">
          <reference field="4294967294" count="1" selected="0">
            <x v="1"/>
          </reference>
          <reference field="8" count="1" selected="0">
            <x v="5"/>
          </reference>
        </references>
      </pivotArea>
    </chartFormat>
    <chartFormat chart="23" format="32" series="1">
      <pivotArea type="data" outline="0" fieldPosition="0">
        <references count="1">
          <reference field="4294967294" count="1" selected="0">
            <x v="0"/>
          </reference>
        </references>
      </pivotArea>
    </chartFormat>
    <chartFormat chart="23" format="33">
      <pivotArea type="data" outline="0" fieldPosition="0">
        <references count="2">
          <reference field="4294967294" count="1" selected="0">
            <x v="0"/>
          </reference>
          <reference field="8" count="1" selected="0">
            <x v="2"/>
          </reference>
        </references>
      </pivotArea>
    </chartFormat>
    <chartFormat chart="23" format="34">
      <pivotArea type="data" outline="0" fieldPosition="0">
        <references count="2">
          <reference field="4294967294" count="1" selected="0">
            <x v="0"/>
          </reference>
          <reference field="8" count="1" selected="0">
            <x v="3"/>
          </reference>
        </references>
      </pivotArea>
    </chartFormat>
    <chartFormat chart="23" format="35">
      <pivotArea type="data" outline="0" fieldPosition="0">
        <references count="2">
          <reference field="4294967294" count="1" selected="0">
            <x v="0"/>
          </reference>
          <reference field="8" count="1" selected="0">
            <x v="4"/>
          </reference>
        </references>
      </pivotArea>
    </chartFormat>
    <chartFormat chart="23" format="36">
      <pivotArea type="data" outline="0" fieldPosition="0">
        <references count="2">
          <reference field="4294967294" count="1" selected="0">
            <x v="0"/>
          </reference>
          <reference field="8" count="1" selected="0">
            <x v="5"/>
          </reference>
        </references>
      </pivotArea>
    </chartFormat>
    <chartFormat chart="23" format="37" series="1">
      <pivotArea type="data" outline="0" fieldPosition="0">
        <references count="1">
          <reference field="4294967294" count="1" selected="0">
            <x v="1"/>
          </reference>
        </references>
      </pivotArea>
    </chartFormat>
    <chartFormat chart="23" format="38">
      <pivotArea type="data" outline="0" fieldPosition="0">
        <references count="2">
          <reference field="4294967294" count="1" selected="0">
            <x v="1"/>
          </reference>
          <reference field="8" count="1" selected="0">
            <x v="2"/>
          </reference>
        </references>
      </pivotArea>
    </chartFormat>
    <chartFormat chart="23" format="39">
      <pivotArea type="data" outline="0" fieldPosition="0">
        <references count="2">
          <reference field="4294967294" count="1" selected="0">
            <x v="1"/>
          </reference>
          <reference field="8" count="1" selected="0">
            <x v="3"/>
          </reference>
        </references>
      </pivotArea>
    </chartFormat>
    <chartFormat chart="23" format="40">
      <pivotArea type="data" outline="0" fieldPosition="0">
        <references count="2">
          <reference field="4294967294" count="1" selected="0">
            <x v="1"/>
          </reference>
          <reference field="8" count="1" selected="0">
            <x v="4"/>
          </reference>
        </references>
      </pivotArea>
    </chartFormat>
    <chartFormat chart="23" format="41">
      <pivotArea type="data" outline="0" fieldPosition="0">
        <references count="2">
          <reference field="4294967294"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D8CEF2-B601-41DA-82D1-573A671C359D}" sourceName="Gender">
  <pivotTables>
    <pivotTable tabId="2" name="PivotTable2"/>
  </pivotTables>
  <data>
    <tabular pivotCacheId="2121703846">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kg" xr10:uid="{0D90B067-6488-4196-A076-2BADBAD6776C}" sourceName="Weight (kg)">
  <pivotTables>
    <pivotTable tabId="2" name="PivotTable5"/>
    <pivotTable tabId="3" name="PivotTable4"/>
  </pivotTables>
  <data>
    <tabular pivotCacheId="924589713">
      <items count="98">
        <i x="11" s="1"/>
        <i x="75" nd="1"/>
        <i x="42" nd="1"/>
        <i x="31" s="1" nd="1"/>
        <i x="55" nd="1"/>
        <i x="89" nd="1"/>
        <i x="6" nd="1"/>
        <i x="10" s="1" nd="1"/>
        <i x="78" nd="1"/>
        <i x="87" nd="1"/>
        <i x="66" nd="1"/>
        <i x="18" nd="1"/>
        <i x="61" nd="1"/>
        <i x="46" nd="1"/>
        <i x="86" nd="1"/>
        <i x="65" nd="1"/>
        <i x="56" nd="1"/>
        <i x="4" s="1" nd="1"/>
        <i x="5" s="1" nd="1"/>
        <i x="92" nd="1"/>
        <i x="41" nd="1"/>
        <i x="43" nd="1"/>
        <i x="70" s="1" nd="1"/>
        <i x="16" nd="1"/>
        <i x="88" nd="1"/>
        <i x="49" nd="1"/>
        <i x="64" s="1" nd="1"/>
        <i x="24" nd="1"/>
        <i x="94" s="1" nd="1"/>
        <i x="80" nd="1"/>
        <i x="54" s="1" nd="1"/>
        <i x="45" s="1" nd="1"/>
        <i x="74" nd="1"/>
        <i x="85" nd="1"/>
        <i x="91" nd="1"/>
        <i x="29" nd="1"/>
        <i x="19" nd="1"/>
        <i x="48" s="1" nd="1"/>
        <i x="76" nd="1"/>
        <i x="81" nd="1"/>
        <i x="22" s="1" nd="1"/>
        <i x="27" nd="1"/>
        <i x="2" nd="1"/>
        <i x="9" nd="1"/>
        <i x="97" nd="1"/>
        <i x="68" nd="1"/>
        <i x="50" nd="1"/>
        <i x="39" nd="1"/>
        <i x="51" s="1" nd="1"/>
        <i x="63" nd="1"/>
        <i x="82" nd="1"/>
        <i x="90" nd="1"/>
        <i x="17" nd="1"/>
        <i x="14" nd="1"/>
        <i x="25" nd="1"/>
        <i x="73" nd="1"/>
        <i x="79" nd="1"/>
        <i x="28" nd="1"/>
        <i x="53" nd="1"/>
        <i x="37" nd="1"/>
        <i x="96" nd="1"/>
        <i x="72" nd="1"/>
        <i x="3" nd="1"/>
        <i x="34" nd="1"/>
        <i x="57" nd="1"/>
        <i x="35" nd="1"/>
        <i x="58" nd="1"/>
        <i x="30" nd="1"/>
        <i x="33" s="1" nd="1"/>
        <i x="8" nd="1"/>
        <i x="38" nd="1"/>
        <i x="84" nd="1"/>
        <i x="1" nd="1"/>
        <i x="62" nd="1"/>
        <i x="47" nd="1"/>
        <i x="0" nd="1"/>
        <i x="95" nd="1"/>
        <i x="12" nd="1"/>
        <i x="7" nd="1"/>
        <i x="67" nd="1"/>
        <i x="15" nd="1"/>
        <i x="83" nd="1"/>
        <i x="44" nd="1"/>
        <i x="93" nd="1"/>
        <i x="60" nd="1"/>
        <i x="69" nd="1"/>
        <i x="52" nd="1"/>
        <i x="77" nd="1"/>
        <i x="21" nd="1"/>
        <i x="32" nd="1"/>
        <i x="13" nd="1"/>
        <i x="40" nd="1"/>
        <i x="71" nd="1"/>
        <i x="26" s="1" nd="1"/>
        <i x="36" nd="1"/>
        <i x="23" nd="1"/>
        <i x="20" nd="1"/>
        <i x="5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BD7E9C04-0460-491B-925A-34C2575ACF88}" sourceName="Height (m)">
  <pivotTables>
    <pivotTable tabId="2" name="PivotTable5"/>
    <pivotTable tabId="3" name="PivotTable4"/>
  </pivotTables>
  <data>
    <tabular pivotCacheId="924589713">
      <items count="45">
        <i x="4" s="1"/>
        <i x="20" nd="1"/>
        <i x="18" nd="1"/>
        <i x="34" nd="1"/>
        <i x="23" s="1" nd="1"/>
        <i x="8" nd="1"/>
        <i x="17" nd="1"/>
        <i x="5" s="1" nd="1"/>
        <i x="43" nd="1"/>
        <i x="14" nd="1"/>
        <i x="25" nd="1"/>
        <i x="39" nd="1"/>
        <i x="7" nd="1"/>
        <i x="32" s="1" nd="1"/>
        <i x="22" nd="1"/>
        <i x="37" nd="1"/>
        <i x="41" nd="1"/>
        <i x="30" s="1" nd="1"/>
        <i x="27" nd="1"/>
        <i x="28" nd="1"/>
        <i x="19" s="1" nd="1"/>
        <i x="21" nd="1"/>
        <i x="12" nd="1"/>
        <i x="26" nd="1"/>
        <i x="15" nd="1"/>
        <i x="16" s="1" nd="1"/>
        <i x="9" s="1" nd="1"/>
        <i x="33" nd="1"/>
        <i x="6" nd="1"/>
        <i x="3" nd="1"/>
        <i x="1" nd="1"/>
        <i x="24" s="1" nd="1"/>
        <i x="2" nd="1"/>
        <i x="0" nd="1"/>
        <i x="38" s="1" nd="1"/>
        <i x="10" s="1" nd="1"/>
        <i x="29" nd="1"/>
        <i x="44" nd="1"/>
        <i x="13" nd="1"/>
        <i x="40" nd="1"/>
        <i x="35" nd="1"/>
        <i x="31" nd="1"/>
        <i x="11" nd="1"/>
        <i x="36" s="1" nd="1"/>
        <i x="4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A8BF711-F9EB-49DF-B4F7-6D010CA45703}" sourceName="Age">
  <pivotTables>
    <pivotTable tabId="2" name="PivotTable2"/>
  </pivotTables>
  <data>
    <tabular pivotCacheId="2121703846">
      <items count="41">
        <i x="7" s="1"/>
        <i x="10"/>
        <i x="21"/>
        <i x="25"/>
        <i x="2"/>
        <i x="13"/>
        <i x="30"/>
        <i x="16"/>
        <i x="1"/>
        <i x="20"/>
        <i x="19"/>
        <i x="36"/>
        <i x="18"/>
        <i x="31"/>
        <i x="24"/>
        <i x="35"/>
        <i x="37"/>
        <i x="9"/>
        <i x="32"/>
        <i x="26"/>
        <i x="28"/>
        <i x="22"/>
        <i x="23"/>
        <i x="40"/>
        <i x="17"/>
        <i x="14"/>
        <i x="12" nd="1"/>
        <i x="39" nd="1"/>
        <i x="0" nd="1"/>
        <i x="15" nd="1"/>
        <i x="27" nd="1"/>
        <i x="4" nd="1"/>
        <i x="8" nd="1"/>
        <i x="29" nd="1"/>
        <i x="5" nd="1"/>
        <i x="33" nd="1"/>
        <i x="6" nd="1"/>
        <i x="3" nd="1"/>
        <i x="34" nd="1"/>
        <i x="11" nd="1"/>
        <i x="38"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1" xr10:uid="{04468264-D421-462E-9C84-A8581D357AAF}" sourceName="Age">
  <pivotTables>
    <pivotTable tabId="2" name="PivotTable5"/>
    <pivotTable tabId="3" name="PivotTable4"/>
  </pivotTables>
  <data>
    <tabular pivotCacheId="924589713">
      <items count="41">
        <i x="11" s="1"/>
        <i x="7" s="1" nd="1"/>
        <i x="10" s="1" nd="1"/>
        <i x="21" s="1" nd="1"/>
        <i x="25" s="1" nd="1"/>
        <i x="2" s="1" nd="1"/>
        <i x="13" s="1" nd="1"/>
        <i x="30" s="1" nd="1"/>
        <i x="16" s="1" nd="1"/>
        <i x="1" s="1" nd="1"/>
        <i x="20" s="1" nd="1"/>
        <i x="19" s="1" nd="1"/>
        <i x="36" s="1" nd="1"/>
        <i x="12" s="1" nd="1"/>
        <i x="39" s="1" nd="1"/>
        <i x="18" s="1" nd="1"/>
        <i x="31" s="1" nd="1"/>
        <i x="0" s="1" nd="1"/>
        <i x="24" s="1" nd="1"/>
        <i x="15" s="1" nd="1"/>
        <i x="27" s="1" nd="1"/>
        <i x="4" s="1" nd="1"/>
        <i x="8" s="1" nd="1"/>
        <i x="35" s="1" nd="1"/>
        <i x="29" s="1" nd="1"/>
        <i x="37" s="1" nd="1"/>
        <i x="5" s="1" nd="1"/>
        <i x="33" s="1" nd="1"/>
        <i x="9" s="1" nd="1"/>
        <i x="32" s="1" nd="1"/>
        <i x="26" s="1" nd="1"/>
        <i x="28" s="1" nd="1"/>
        <i x="6" s="1" nd="1"/>
        <i x="22" s="1" nd="1"/>
        <i x="23" s="1" nd="1"/>
        <i x="40" s="1" nd="1"/>
        <i x="3" s="1" nd="1"/>
        <i x="34" s="1" nd="1"/>
        <i x="38" s="1" nd="1"/>
        <i x="17" s="1" nd="1"/>
        <i x="1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ories_Burned2" xr10:uid="{65535AA9-52EA-43E7-AB83-F4C95EF4E2E8}" sourceName="Calories_Burned">
  <pivotTables>
    <pivotTable tabId="2" name="PivotTable5"/>
    <pivotTable tabId="3" name="PivotTable4"/>
  </pivotTables>
  <data>
    <tabular pivotCacheId="924589713">
      <items count="115">
        <i x="63"/>
        <i x="58"/>
        <i x="11"/>
        <i x="10"/>
        <i x="83"/>
        <i x="103"/>
        <i x="56" s="1"/>
        <i x="78"/>
        <i x="52"/>
        <i x="32"/>
        <i x="5"/>
        <i x="62"/>
        <i x="61"/>
        <i x="26"/>
        <i x="73"/>
        <i x="51"/>
        <i x="68"/>
        <i x="6"/>
        <i x="35"/>
        <i x="4"/>
        <i x="106"/>
        <i x="54"/>
        <i x="79"/>
        <i x="89"/>
        <i x="22"/>
        <i x="45" nd="1"/>
        <i x="114" nd="1"/>
        <i x="21" nd="1"/>
        <i x="14" nd="1"/>
        <i x="60" nd="1"/>
        <i x="75" nd="1"/>
        <i x="40" nd="1"/>
        <i x="3" nd="1"/>
        <i x="33" nd="1"/>
        <i x="47" nd="1"/>
        <i x="84" nd="1"/>
        <i x="107" nd="1"/>
        <i x="66" nd="1"/>
        <i x="57" nd="1"/>
        <i x="0" nd="1"/>
        <i x="97" nd="1"/>
        <i x="44" nd="1"/>
        <i x="70" nd="1"/>
        <i x="25" nd="1"/>
        <i x="96" nd="1"/>
        <i x="50" nd="1"/>
        <i x="23" nd="1"/>
        <i x="8" nd="1"/>
        <i x="80" nd="1"/>
        <i x="7" nd="1"/>
        <i x="1" nd="1"/>
        <i x="39" nd="1"/>
        <i x="18" nd="1"/>
        <i x="30" nd="1"/>
        <i x="49" nd="1"/>
        <i x="94" nd="1"/>
        <i x="17" nd="1"/>
        <i x="24" nd="1"/>
        <i x="65" nd="1"/>
        <i x="101" nd="1"/>
        <i x="20" nd="1"/>
        <i x="102" nd="1"/>
        <i x="31" nd="1"/>
        <i x="55" nd="1"/>
        <i x="105" nd="1"/>
        <i x="77" nd="1"/>
        <i x="46" nd="1"/>
        <i x="109" nd="1"/>
        <i x="85" nd="1"/>
        <i x="72" nd="1"/>
        <i x="42" nd="1"/>
        <i x="87" nd="1"/>
        <i x="113" nd="1"/>
        <i x="104" nd="1"/>
        <i x="110" nd="1"/>
        <i x="74" nd="1"/>
        <i x="29" nd="1"/>
        <i x="91" nd="1"/>
        <i x="90" nd="1"/>
        <i x="86" nd="1"/>
        <i x="59" nd="1"/>
        <i x="48" nd="1"/>
        <i x="19" nd="1"/>
        <i x="76" nd="1"/>
        <i x="37" nd="1"/>
        <i x="16" nd="1"/>
        <i x="69" nd="1"/>
        <i x="67" nd="1"/>
        <i x="36" nd="1"/>
        <i x="111" nd="1"/>
        <i x="9" nd="1"/>
        <i x="108" nd="1"/>
        <i x="99" nd="1"/>
        <i x="82" nd="1"/>
        <i x="27" nd="1"/>
        <i x="64" nd="1"/>
        <i x="95" nd="1"/>
        <i x="71" nd="1"/>
        <i x="92" nd="1"/>
        <i x="34" nd="1"/>
        <i x="98" nd="1"/>
        <i x="15" nd="1"/>
        <i x="43" nd="1"/>
        <i x="41" nd="1"/>
        <i x="38" nd="1"/>
        <i x="112" nd="1"/>
        <i x="13" nd="1"/>
        <i x="88" nd="1"/>
        <i x="2" nd="1"/>
        <i x="12" nd="1"/>
        <i x="81" nd="1"/>
        <i x="93" nd="1"/>
        <i x="53" nd="1"/>
        <i x="28" nd="1"/>
        <i x="10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11" xr10:uid="{991D5B50-6B3B-42A5-B481-596016F30AEC}" sourceName="Height (m)">
  <pivotTables>
    <pivotTable tabId="4" name="PivotTable2"/>
    <pivotTable tabId="4" name="PivotTable12"/>
    <pivotTable tabId="4" name="PivotTable1"/>
    <pivotTable tabId="4" name="PivotTable3"/>
    <pivotTable tabId="4" name="PivotTable4"/>
  </pivotTables>
  <data>
    <tabular pivotCacheId="222806598">
      <items count="45">
        <i x="5" s="1"/>
        <i x="25" s="1"/>
        <i x="22" s="1"/>
        <i x="30" s="1"/>
        <i x="27" s="1"/>
        <i x="21" s="1"/>
        <i x="4" s="1"/>
        <i x="6" s="1"/>
        <i x="24" s="1"/>
        <i x="2" s="1"/>
        <i x="0" s="1"/>
        <i x="38" s="1"/>
        <i x="10" s="1"/>
        <i x="20" nd="1"/>
        <i x="18" nd="1"/>
        <i x="34" nd="1"/>
        <i x="23" s="1" nd="1"/>
        <i x="8" nd="1"/>
        <i x="17" nd="1"/>
        <i x="43" nd="1"/>
        <i x="14" nd="1"/>
        <i x="39" nd="1"/>
        <i x="7" s="1" nd="1"/>
        <i x="32" nd="1"/>
        <i x="37" nd="1"/>
        <i x="41" nd="1"/>
        <i x="28" nd="1"/>
        <i x="19" nd="1"/>
        <i x="12" nd="1"/>
        <i x="26" s="1" nd="1"/>
        <i x="15" nd="1"/>
        <i x="16" nd="1"/>
        <i x="9" nd="1"/>
        <i x="33" s="1" nd="1"/>
        <i x="3" nd="1"/>
        <i x="1" nd="1"/>
        <i x="29" nd="1"/>
        <i x="44" nd="1"/>
        <i x="13" nd="1"/>
        <i x="40" nd="1"/>
        <i x="35" nd="1"/>
        <i x="31" s="1" nd="1"/>
        <i x="11" nd="1"/>
        <i x="36" nd="1"/>
        <i x="4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1" xr10:uid="{EA03E4BD-510A-4955-8124-697AA0931FE5}" sourceName="BMI">
  <pivotTables>
    <pivotTable tabId="4" name="PivotTable2"/>
    <pivotTable tabId="4" name="PivotTable12"/>
    <pivotTable tabId="4" name="PivotTable1"/>
    <pivotTable tabId="4" name="PivotTable3"/>
    <pivotTable tabId="4" name="PivotTable4"/>
  </pivotTables>
  <data>
    <tabular pivotCacheId="222806598">
      <items count="104">
        <i x="9" s="1"/>
        <i x="2" s="1"/>
        <i x="44" s="1"/>
        <i x="0" s="1"/>
        <i x="42" s="1"/>
        <i x="25" s="1"/>
        <i x="29"/>
        <i x="6"/>
        <i x="50"/>
        <i x="26"/>
        <i x="94"/>
        <i x="4"/>
        <i x="58"/>
        <i x="93"/>
        <i x="89"/>
        <i x="30"/>
        <i x="79"/>
        <i x="87"/>
        <i x="47"/>
        <i x="78"/>
        <i x="74" nd="1"/>
        <i x="5" nd="1"/>
        <i x="98" nd="1"/>
        <i x="69" nd="1"/>
        <i x="66" nd="1"/>
        <i x="14" nd="1"/>
        <i x="73" nd="1"/>
        <i x="68" nd="1"/>
        <i x="102" nd="1"/>
        <i x="12" nd="1"/>
        <i x="22" nd="1"/>
        <i x="75" nd="1"/>
        <i x="99" nd="1"/>
        <i x="45" nd="1"/>
        <i x="77" nd="1"/>
        <i x="11" nd="1"/>
        <i x="62" nd="1"/>
        <i x="49" nd="1"/>
        <i x="52" nd="1"/>
        <i x="65" nd="1"/>
        <i x="34" nd="1"/>
        <i x="23" nd="1"/>
        <i x="53" nd="1"/>
        <i x="80" nd="1"/>
        <i x="92" nd="1"/>
        <i x="72" nd="1"/>
        <i x="27" nd="1"/>
        <i x="41" nd="1"/>
        <i x="83" nd="1"/>
        <i x="36" nd="1"/>
        <i x="21" nd="1"/>
        <i x="19" nd="1"/>
        <i x="40" nd="1"/>
        <i x="64" nd="1"/>
        <i x="28" nd="1"/>
        <i x="71" nd="1"/>
        <i x="91" nd="1"/>
        <i x="56" nd="1"/>
        <i x="32" nd="1"/>
        <i x="43" nd="1"/>
        <i x="96" nd="1"/>
        <i x="13" nd="1"/>
        <i x="7" nd="1"/>
        <i x="31" nd="1"/>
        <i x="46" nd="1"/>
        <i x="101" nd="1"/>
        <i x="54" nd="1"/>
        <i x="81" nd="1"/>
        <i x="85" nd="1"/>
        <i x="100" nd="1"/>
        <i x="3" nd="1"/>
        <i x="55" nd="1"/>
        <i x="103" nd="1"/>
        <i x="84" nd="1"/>
        <i x="61" nd="1"/>
        <i x="18" nd="1"/>
        <i x="35" nd="1"/>
        <i x="70" nd="1"/>
        <i x="88" nd="1"/>
        <i x="37" nd="1"/>
        <i x="15" nd="1"/>
        <i x="17" nd="1"/>
        <i x="63" nd="1"/>
        <i x="76" nd="1"/>
        <i x="33" nd="1"/>
        <i x="16" nd="1"/>
        <i x="97" nd="1"/>
        <i x="38" nd="1"/>
        <i x="60" nd="1"/>
        <i x="24" nd="1"/>
        <i x="82" nd="1"/>
        <i x="20" nd="1"/>
        <i x="86" nd="1"/>
        <i x="59" nd="1"/>
        <i x="57" nd="1"/>
        <i x="39" nd="1"/>
        <i x="10" nd="1"/>
        <i x="51" nd="1"/>
        <i x="67" nd="1"/>
        <i x="90" nd="1"/>
        <i x="1" nd="1"/>
        <i x="95" nd="1"/>
        <i x="48" nd="1"/>
        <i x="8"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kg1" xr10:uid="{9A83ABEA-41EA-4123-BD33-E8BBBEB3992B}" sourceName="Weight (kg)">
  <pivotTables>
    <pivotTable tabId="4" name="PivotTable1"/>
    <pivotTable tabId="4" name="PivotTable12"/>
    <pivotTable tabId="4" name="PivotTable2"/>
    <pivotTable tabId="4" name="PivotTable3"/>
    <pivotTable tabId="4" name="PivotTable4"/>
  </pivotTables>
  <data>
    <tabular pivotCacheId="222806598">
      <items count="98">
        <i x="11" s="1"/>
        <i x="31" s="1"/>
        <i x="46" s="1"/>
        <i x="80" s="1"/>
        <i x="48" s="1"/>
        <i x="2" s="1"/>
        <i x="9" s="1"/>
        <i x="47" s="1"/>
        <i x="0" s="1"/>
        <i x="60" s="1"/>
        <i x="21" s="1"/>
        <i x="36" s="1"/>
        <i x="75" nd="1"/>
        <i x="42" nd="1"/>
        <i x="55" nd="1"/>
        <i x="89" s="1" nd="1"/>
        <i x="6" s="1" nd="1"/>
        <i x="10" nd="1"/>
        <i x="78" s="1" nd="1"/>
        <i x="87" s="1" nd="1"/>
        <i x="66" nd="1"/>
        <i x="18" nd="1"/>
        <i x="61" nd="1"/>
        <i x="86" s="1" nd="1"/>
        <i x="65" nd="1"/>
        <i x="56" s="1" nd="1"/>
        <i x="4" s="1" nd="1"/>
        <i x="5" s="1" nd="1"/>
        <i x="92" nd="1"/>
        <i x="41" s="1" nd="1"/>
        <i x="43" nd="1"/>
        <i x="70" nd="1"/>
        <i x="16" nd="1"/>
        <i x="88" nd="1"/>
        <i x="49" s="1" nd="1"/>
        <i x="64" nd="1"/>
        <i x="24" nd="1"/>
        <i x="94" s="1" nd="1"/>
        <i x="54" nd="1"/>
        <i x="45" s="1" nd="1"/>
        <i x="74" nd="1"/>
        <i x="85" nd="1"/>
        <i x="91" nd="1"/>
        <i x="29" nd="1"/>
        <i x="19" nd="1"/>
        <i x="76" nd="1"/>
        <i x="81" nd="1"/>
        <i x="22" nd="1"/>
        <i x="27" s="1" nd="1"/>
        <i x="97" nd="1"/>
        <i x="68" nd="1"/>
        <i x="50" nd="1"/>
        <i x="39" nd="1"/>
        <i x="51" nd="1"/>
        <i x="63" nd="1"/>
        <i x="82" nd="1"/>
        <i x="90" nd="1"/>
        <i x="17" nd="1"/>
        <i x="14" nd="1"/>
        <i x="25" nd="1"/>
        <i x="73" nd="1"/>
        <i x="79" nd="1"/>
        <i x="28" nd="1"/>
        <i x="53" nd="1"/>
        <i x="37" nd="1"/>
        <i x="96" nd="1"/>
        <i x="72" nd="1"/>
        <i x="3" nd="1"/>
        <i x="34" nd="1"/>
        <i x="57" nd="1"/>
        <i x="35" nd="1"/>
        <i x="58" nd="1"/>
        <i x="30" s="1" nd="1"/>
        <i x="33" nd="1"/>
        <i x="8" nd="1"/>
        <i x="38" nd="1"/>
        <i x="84" s="1" nd="1"/>
        <i x="1" nd="1"/>
        <i x="62" nd="1"/>
        <i x="95" nd="1"/>
        <i x="12" s="1" nd="1"/>
        <i x="7" nd="1"/>
        <i x="67" nd="1"/>
        <i x="15" nd="1"/>
        <i x="83" nd="1"/>
        <i x="44" nd="1"/>
        <i x="93" nd="1"/>
        <i x="69" nd="1"/>
        <i x="52" nd="1"/>
        <i x="77" nd="1"/>
        <i x="32" s="1" nd="1"/>
        <i x="13" nd="1"/>
        <i x="40" nd="1"/>
        <i x="71" nd="1"/>
        <i x="26" nd="1"/>
        <i x="23" nd="1"/>
        <i x="20" nd="1"/>
        <i x="59"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33D42AC-A200-40CF-98B1-DB232F0D8187}" sourceName="Gender">
  <pivotTables>
    <pivotTable tabId="2" name="PivotTable5"/>
  </pivotTables>
  <data>
    <tabular pivotCacheId="924589713">
      <items count="3">
        <i x="0"/>
        <i x="1" s="1" nd="1"/>
        <i x="2"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0A58647-73ED-42A8-A2E5-A630B18BB980}" sourceName="Gender">
  <data>
    <tabular pivotCacheId="924589713">
      <items count="3">
        <i x="0" s="1"/>
        <i x="1"/>
        <i x="2"/>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253AC93F-1ED4-4849-A029-08670204819D}" sourceName="Gender">
  <pivotTables>
    <pivotTable tabId="4" name="PivotTable1"/>
    <pivotTable tabId="4" name="PivotTable12"/>
    <pivotTable tabId="4" name="PivotTable2"/>
    <pivotTable tabId="4" name="PivotTable3"/>
    <pivotTable tabId="4" name="PivotTable4"/>
  </pivotTables>
  <data>
    <tabular pivotCacheId="222806598">
      <items count="3">
        <i x="0" s="1"/>
        <i x="1" s="1"/>
        <i x="2"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E28EABA0-1AAB-42BF-A624-25E7612EB4EF}" sourceName="Workout_Type">
  <pivotTables>
    <pivotTable tabId="4" name="PivotTable4"/>
    <pivotTable tabId="4" name="PivotTable1"/>
    <pivotTable tabId="4" name="PivotTable12"/>
    <pivotTable tabId="4" name="PivotTable2"/>
    <pivotTable tabId="4" name="PivotTable3"/>
  </pivotTables>
  <data>
    <tabular pivotCacheId="222806598">
      <items count="7">
        <i x="1" s="1"/>
        <i x="0" s="1"/>
        <i x="3" s="1"/>
        <i x="5" nd="1"/>
        <i x="6" nd="1"/>
        <i x="2"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21A1B2E-9671-434D-B2E1-65F05DAFA279}" cache="Slicer_Gender" caption="Gender" rowHeight="241300"/>
  <slicer name="Weight (kg)" xr10:uid="{C5122E27-243A-4CF5-8D73-E165DB3698FF}" cache="Slicer_Weight__kg" caption="Weight (kg)" rowHeight="241300"/>
  <slicer name="Height (m)" xr10:uid="{73B69EAE-8511-4055-BCFB-ABC62644A745}" cache="Slicer_Height__m" caption="Height (m)" startItem="4" rowHeight="241300"/>
  <slicer name="Age" xr10:uid="{B979A5CD-04FB-484E-A51B-844B7D929C3F}" cache="Slicer_Age" caption="Age" rowHeight="241300"/>
  <slicer name="Calories_Burned 1" xr10:uid="{9A4C1F4C-32CF-4775-89D2-1A909666F129}" cache="Slicer_Calories_Burned2" caption="Calories_Burned" startItem="1" rowHeight="241300"/>
  <slicer name="Gender 1" xr10:uid="{FA6CA7D2-E490-4A47-920F-0961A2D3463D}" cache="Slicer_Gender1"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F4A7BD79-158A-469D-9630-EC2FFE22C588}" cache="Slicer_Age11" caption="Age" startItem="34" rowHeight="241300"/>
  <slicer name="Calories_Burned" xr10:uid="{98B3E232-05D3-4D55-90C1-CE143D070171}" cache="Slicer_Calories_Burned2" caption="Calories_Burned" rowHeight="241300"/>
  <slicer name="Gender 2" xr10:uid="{6A23B335-6EF1-479C-B40B-327A4BBCBBDC}" cache="Slicer_Gender2"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ight (m) 1" xr10:uid="{576DE039-F971-4DC9-A9D3-266A46772A88}" cache="Slicer_Height__m11" caption="Height (m)" startItem="17" rowHeight="241300"/>
  <slicer name="BMI" xr10:uid="{459A7BA5-ACD3-4EC3-9669-792BFA938BF8}" cache="Slicer_BMI1" caption="BMI" startItem="13" rowHeight="241300"/>
  <slicer name="Weight (kg) 1" xr10:uid="{C42FA6EC-32B5-43FA-BD0F-6C7ACBB3244F}" cache="Slicer_Weight__kg1" caption="Weight (kg)" startItem="9" rowHeight="241300"/>
  <slicer name="Gender 3" xr10:uid="{BE289266-3652-4C6E-80AF-F75A3543FAAE}" cache="Slicer_Gender3" caption="Gender" rowHeight="241300"/>
  <slicer name="Workout_Type" xr10:uid="{DC2DA715-4E26-4954-B255-B622A2F3EB06}" cache="Slicer_Workout_Type" caption="Workout_Ty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1" xr10:uid="{5E895900-3770-497B-8C7E-9C96B02FE6C2}" cache="Slicer_BMI1" caption="BMI" rowHeight="241300"/>
  <slicer name="Weight (kg) 2" xr10:uid="{FF6E3AC4-0DF9-493C-A196-082677FC869B}" cache="Slicer_Weight__kg1" caption="Weight (kg)" startItem="90" rowHeight="241300"/>
  <slicer name="Gender 4" xr10:uid="{1D66F1CA-8FA4-4715-87B5-CAA5E52B6091}" cache="Slicer_Gender3" caption="Gender" rowHeight="241300"/>
  <slicer name="Workout_Type 1" xr10:uid="{5B04B2B4-66AE-4DD7-9EF2-E653E5EC83C7}" cache="Slicer_Workout_Type" caption="Workout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3.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2375-27F8-4BA3-A835-E6F8C40188D5}">
  <dimension ref="A3:C13"/>
  <sheetViews>
    <sheetView topLeftCell="A28" workbookViewId="0">
      <selection activeCell="Q92" sqref="Q92"/>
    </sheetView>
  </sheetViews>
  <sheetFormatPr defaultRowHeight="15" x14ac:dyDescent="0.25"/>
  <cols>
    <col min="1" max="1" width="13.140625" bestFit="1" customWidth="1"/>
    <col min="2" max="2" width="21.85546875" bestFit="1" customWidth="1"/>
    <col min="3" max="3" width="10.7109375" bestFit="1" customWidth="1"/>
    <col min="4" max="4" width="15.85546875" bestFit="1" customWidth="1"/>
    <col min="5" max="5" width="11.140625" customWidth="1"/>
    <col min="6" max="6" width="12" customWidth="1"/>
    <col min="7" max="7" width="12" bestFit="1" customWidth="1"/>
    <col min="8" max="8" width="10.140625" customWidth="1"/>
    <col min="9" max="9" width="12" bestFit="1" customWidth="1"/>
    <col min="10" max="10" width="8.5703125" customWidth="1"/>
    <col min="11" max="11" width="10.140625" customWidth="1"/>
    <col min="12" max="12" width="7.85546875" customWidth="1"/>
    <col min="13" max="13" width="13.140625" bestFit="1" customWidth="1"/>
    <col min="14" max="14" width="26.7109375" bestFit="1" customWidth="1"/>
    <col min="15" max="15" width="9.28515625" customWidth="1"/>
    <col min="16" max="16" width="10.42578125" customWidth="1"/>
    <col min="17" max="17" width="9.7109375" customWidth="1"/>
    <col min="18" max="18" width="10" customWidth="1"/>
    <col min="19" max="19" width="9.85546875" customWidth="1"/>
    <col min="20" max="20" width="11" customWidth="1"/>
    <col min="21" max="21" width="11.5703125" customWidth="1"/>
    <col min="22" max="22" width="11" customWidth="1"/>
    <col min="23" max="23" width="10.28515625" customWidth="1"/>
    <col min="24" max="24" width="9.7109375" customWidth="1"/>
    <col min="25" max="25" width="8.42578125" customWidth="1"/>
    <col min="26" max="26" width="11.140625" customWidth="1"/>
    <col min="27" max="27" width="10.140625" customWidth="1"/>
    <col min="28" max="28" width="9.7109375" customWidth="1"/>
    <col min="29" max="29" width="10.140625" customWidth="1"/>
    <col min="30" max="30" width="11.140625" customWidth="1"/>
    <col min="31" max="31" width="12.140625" customWidth="1"/>
    <col min="32" max="32" width="7.7109375" customWidth="1"/>
    <col min="33" max="33" width="12" customWidth="1"/>
    <col min="34" max="34" width="11.28515625" customWidth="1"/>
    <col min="35" max="35" width="9.28515625" customWidth="1"/>
    <col min="36" max="36" width="9.140625" customWidth="1"/>
    <col min="37" max="37" width="10.7109375" customWidth="1"/>
    <col min="38" max="38" width="10.28515625" customWidth="1"/>
    <col min="39" max="39" width="9" customWidth="1"/>
    <col min="40" max="40" width="9.85546875" customWidth="1"/>
    <col min="41" max="41" width="13" customWidth="1"/>
    <col min="42" max="42" width="12" bestFit="1" customWidth="1"/>
  </cols>
  <sheetData>
    <row r="3" spans="1:3" x14ac:dyDescent="0.25">
      <c r="A3" s="1" t="s">
        <v>24</v>
      </c>
      <c r="B3" t="s">
        <v>28</v>
      </c>
      <c r="C3" t="s">
        <v>29</v>
      </c>
    </row>
    <row r="4" spans="1:3" x14ac:dyDescent="0.25">
      <c r="A4" s="2" t="s">
        <v>17</v>
      </c>
      <c r="B4">
        <v>1266</v>
      </c>
      <c r="C4">
        <v>188</v>
      </c>
    </row>
    <row r="5" spans="1:3" x14ac:dyDescent="0.25">
      <c r="A5" s="2" t="s">
        <v>19</v>
      </c>
      <c r="B5">
        <v>1105.6666666666667</v>
      </c>
      <c r="C5">
        <v>187</v>
      </c>
    </row>
    <row r="6" spans="1:3" x14ac:dyDescent="0.25">
      <c r="A6" s="2" t="s">
        <v>15</v>
      </c>
      <c r="B6">
        <v>1038.6666666666667</v>
      </c>
      <c r="C6">
        <v>181.66666666666666</v>
      </c>
    </row>
    <row r="7" spans="1:3" x14ac:dyDescent="0.25">
      <c r="A7" s="2" t="s">
        <v>20</v>
      </c>
      <c r="B7">
        <v>1429</v>
      </c>
      <c r="C7">
        <v>198</v>
      </c>
    </row>
    <row r="8" spans="1:3" x14ac:dyDescent="0.25">
      <c r="A8" s="2" t="s">
        <v>25</v>
      </c>
      <c r="B8">
        <v>1141</v>
      </c>
      <c r="C8">
        <v>186.5</v>
      </c>
    </row>
    <row r="12" spans="1:3" x14ac:dyDescent="0.25">
      <c r="A12" s="1" t="s">
        <v>24</v>
      </c>
      <c r="B12" t="s">
        <v>30</v>
      </c>
      <c r="C12" t="s">
        <v>33</v>
      </c>
    </row>
    <row r="13" spans="1:3" x14ac:dyDescent="0.25">
      <c r="A13" s="2" t="s">
        <v>25</v>
      </c>
      <c r="B13" s="6"/>
      <c r="C13" s="6"/>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8615-A349-4B2E-8A85-EBCF1B5246DF}">
  <dimension ref="A1:C3"/>
  <sheetViews>
    <sheetView zoomScale="106" zoomScaleNormal="106" workbookViewId="0">
      <selection activeCell="Q92" sqref="Q92"/>
    </sheetView>
  </sheetViews>
  <sheetFormatPr defaultRowHeight="15" x14ac:dyDescent="0.25"/>
  <cols>
    <col min="1" max="1" width="13.28515625" bestFit="1" customWidth="1"/>
    <col min="2" max="2" width="19" bestFit="1" customWidth="1"/>
    <col min="3" max="3" width="20.42578125" bestFit="1" customWidth="1"/>
    <col min="4" max="4" width="19.5703125" bestFit="1" customWidth="1"/>
  </cols>
  <sheetData>
    <row r="1" spans="1:3" x14ac:dyDescent="0.25">
      <c r="A1" s="1" t="s">
        <v>24</v>
      </c>
      <c r="B1" t="s">
        <v>26</v>
      </c>
      <c r="C1" t="s">
        <v>32</v>
      </c>
    </row>
    <row r="2" spans="1:3" x14ac:dyDescent="0.25">
      <c r="A2" s="2">
        <v>56</v>
      </c>
      <c r="B2" s="6">
        <v>40</v>
      </c>
      <c r="C2" s="6">
        <v>74</v>
      </c>
    </row>
    <row r="3" spans="1:3" x14ac:dyDescent="0.25">
      <c r="A3" s="2" t="s">
        <v>25</v>
      </c>
      <c r="B3" s="6">
        <v>40</v>
      </c>
      <c r="C3" s="6">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F596-B9D2-42F6-A06C-AC6AAB3CFD1D}">
  <dimension ref="A3:O49"/>
  <sheetViews>
    <sheetView topLeftCell="A25" workbookViewId="0">
      <selection activeCell="A45" sqref="A45:C50"/>
    </sheetView>
  </sheetViews>
  <sheetFormatPr defaultRowHeight="15" x14ac:dyDescent="0.25"/>
  <cols>
    <col min="1" max="1" width="13.140625" bestFit="1" customWidth="1"/>
    <col min="2" max="2" width="26.140625" bestFit="1" customWidth="1"/>
    <col min="3" max="3" width="20.28515625" bestFit="1" customWidth="1"/>
    <col min="4" max="4" width="22.5703125" bestFit="1" customWidth="1"/>
    <col min="12" max="13" width="13.140625" bestFit="1" customWidth="1"/>
    <col min="14" max="14" width="17.28515625" bestFit="1" customWidth="1"/>
    <col min="15" max="15" width="18.28515625" bestFit="1" customWidth="1"/>
  </cols>
  <sheetData>
    <row r="3" spans="1:15" x14ac:dyDescent="0.25">
      <c r="A3" s="1" t="s">
        <v>24</v>
      </c>
      <c r="B3" t="s">
        <v>31</v>
      </c>
      <c r="M3" s="1" t="s">
        <v>24</v>
      </c>
      <c r="N3" t="s">
        <v>27</v>
      </c>
      <c r="O3" t="s">
        <v>26</v>
      </c>
    </row>
    <row r="4" spans="1:15" x14ac:dyDescent="0.25">
      <c r="A4" s="2" t="s">
        <v>16</v>
      </c>
      <c r="B4">
        <v>23.900000000000002</v>
      </c>
      <c r="M4" s="2" t="s">
        <v>16</v>
      </c>
      <c r="N4">
        <v>17.420000000000002</v>
      </c>
      <c r="O4">
        <v>687.40000000000009</v>
      </c>
    </row>
    <row r="5" spans="1:15" x14ac:dyDescent="0.25">
      <c r="A5" s="2" t="s">
        <v>18</v>
      </c>
      <c r="B5">
        <v>14.8</v>
      </c>
      <c r="M5" s="2" t="s">
        <v>18</v>
      </c>
      <c r="N5">
        <v>10.55</v>
      </c>
      <c r="O5">
        <v>343.6</v>
      </c>
    </row>
    <row r="6" spans="1:15" x14ac:dyDescent="0.25">
      <c r="A6" s="2" t="s">
        <v>25</v>
      </c>
      <c r="B6">
        <v>38.700000000000003</v>
      </c>
      <c r="M6" s="2" t="s">
        <v>25</v>
      </c>
      <c r="N6">
        <v>27.970000000000002</v>
      </c>
      <c r="O6">
        <v>1031</v>
      </c>
    </row>
    <row r="27" spans="12:14" x14ac:dyDescent="0.25">
      <c r="L27" s="1" t="s">
        <v>24</v>
      </c>
      <c r="M27" t="s">
        <v>26</v>
      </c>
      <c r="N27" t="s">
        <v>32</v>
      </c>
    </row>
    <row r="28" spans="12:14" x14ac:dyDescent="0.25">
      <c r="L28" s="2" t="s">
        <v>16</v>
      </c>
      <c r="M28">
        <v>687.40000000000009</v>
      </c>
      <c r="N28">
        <v>587</v>
      </c>
    </row>
    <row r="29" spans="12:14" x14ac:dyDescent="0.25">
      <c r="L29" s="2" t="s">
        <v>18</v>
      </c>
      <c r="M29">
        <v>343.6</v>
      </c>
      <c r="N29">
        <v>409</v>
      </c>
    </row>
    <row r="30" spans="12:14" x14ac:dyDescent="0.25">
      <c r="L30" s="2" t="s">
        <v>25</v>
      </c>
      <c r="M30">
        <v>1031</v>
      </c>
      <c r="N30">
        <v>996</v>
      </c>
    </row>
    <row r="36" spans="1:3" x14ac:dyDescent="0.25">
      <c r="A36" s="1" t="s">
        <v>24</v>
      </c>
      <c r="B36" t="s">
        <v>30</v>
      </c>
      <c r="C36" t="s">
        <v>33</v>
      </c>
    </row>
    <row r="37" spans="1:3" x14ac:dyDescent="0.25">
      <c r="A37" s="2" t="s">
        <v>16</v>
      </c>
      <c r="B37">
        <v>68.740000000000009</v>
      </c>
      <c r="C37">
        <v>24</v>
      </c>
    </row>
    <row r="38" spans="1:3" x14ac:dyDescent="0.25">
      <c r="A38" s="2" t="s">
        <v>18</v>
      </c>
      <c r="B38">
        <v>57.266666666666673</v>
      </c>
      <c r="C38">
        <v>18</v>
      </c>
    </row>
    <row r="39" spans="1:3" x14ac:dyDescent="0.25">
      <c r="A39" s="2" t="s">
        <v>25</v>
      </c>
      <c r="B39">
        <v>64.4375</v>
      </c>
      <c r="C39">
        <v>18</v>
      </c>
    </row>
    <row r="45" spans="1:3" x14ac:dyDescent="0.25">
      <c r="A45" s="1" t="s">
        <v>24</v>
      </c>
      <c r="B45" t="s">
        <v>28</v>
      </c>
      <c r="C45" t="s">
        <v>29</v>
      </c>
    </row>
    <row r="46" spans="1:3" x14ac:dyDescent="0.25">
      <c r="A46" s="2" t="s">
        <v>17</v>
      </c>
      <c r="B46">
        <v>1221.8888888888889</v>
      </c>
      <c r="C46">
        <v>182.88888888888889</v>
      </c>
    </row>
    <row r="47" spans="1:3" x14ac:dyDescent="0.25">
      <c r="A47" s="2" t="s">
        <v>15</v>
      </c>
      <c r="B47">
        <v>902</v>
      </c>
      <c r="C47">
        <v>170.5</v>
      </c>
    </row>
    <row r="48" spans="1:3" x14ac:dyDescent="0.25">
      <c r="A48" s="2" t="s">
        <v>20</v>
      </c>
      <c r="B48">
        <v>1198.3333333333333</v>
      </c>
      <c r="C48">
        <v>178</v>
      </c>
    </row>
    <row r="49" spans="1:3" x14ac:dyDescent="0.25">
      <c r="A49" s="2" t="s">
        <v>25</v>
      </c>
      <c r="B49">
        <v>1137.5</v>
      </c>
      <c r="C49">
        <v>178.875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4377-A818-459E-A3A2-2D2071FA6D68}">
  <dimension ref="A1:AD37"/>
  <sheetViews>
    <sheetView showGridLines="0" showRowColHeaders="0" tabSelected="1" zoomScaleNormal="100" workbookViewId="0">
      <selection activeCell="Z20" sqref="Z20"/>
    </sheetView>
  </sheetViews>
  <sheetFormatPr defaultRowHeight="15" x14ac:dyDescent="0.25"/>
  <sheetData>
    <row r="1" spans="1:30"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30"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ht="15.75" x14ac:dyDescent="0.25">
      <c r="A4" s="3"/>
      <c r="B4" s="3"/>
      <c r="C4" s="3"/>
      <c r="D4" s="3"/>
      <c r="E4" s="3"/>
      <c r="F4" s="3"/>
      <c r="G4" s="4"/>
      <c r="H4" s="3"/>
      <c r="I4" s="3"/>
      <c r="J4" s="3"/>
      <c r="K4" s="3"/>
      <c r="L4" s="3"/>
      <c r="M4" s="3"/>
      <c r="N4" s="3"/>
      <c r="O4" s="3"/>
      <c r="P4" s="3"/>
      <c r="Q4" s="3"/>
      <c r="R4" s="3"/>
      <c r="S4" s="3"/>
      <c r="T4" s="3"/>
      <c r="U4" s="3"/>
      <c r="V4" s="3"/>
      <c r="W4" s="3"/>
      <c r="X4" s="3"/>
      <c r="Y4" s="3"/>
      <c r="Z4" s="3"/>
      <c r="AA4" s="3"/>
      <c r="AB4" s="3"/>
      <c r="AC4" s="3"/>
      <c r="AD4" s="3"/>
    </row>
    <row r="5" spans="1:30"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30"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30"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30"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0"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spans="1:30"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30"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spans="1:30"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0"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0FF5-4D4F-42F8-8A39-688FDC3361D3}">
  <dimension ref="A1:S121"/>
  <sheetViews>
    <sheetView workbookViewId="0">
      <selection activeCell="Q16" sqref="Q16"/>
    </sheetView>
  </sheetViews>
  <sheetFormatPr defaultRowHeight="15" x14ac:dyDescent="0.25"/>
  <cols>
    <col min="2" max="2" width="11.28515625" bestFit="1" customWidth="1"/>
    <col min="17" max="17" width="29" bestFit="1" customWidth="1"/>
    <col min="18" max="18" width="16.28515625" bestFit="1" customWidth="1"/>
    <col min="19" max="19" width="31.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Q1" s="5"/>
      <c r="R1" s="5"/>
      <c r="S1" s="5"/>
    </row>
    <row r="2" spans="1:19" x14ac:dyDescent="0.25">
      <c r="A2">
        <v>34</v>
      </c>
      <c r="B2">
        <v>86.7</v>
      </c>
      <c r="C2">
        <v>1.86</v>
      </c>
      <c r="D2">
        <v>174</v>
      </c>
      <c r="E2">
        <v>152</v>
      </c>
      <c r="F2">
        <v>74</v>
      </c>
      <c r="G2">
        <v>1.1200000000000001</v>
      </c>
      <c r="H2">
        <v>712</v>
      </c>
      <c r="I2" t="s">
        <v>15</v>
      </c>
      <c r="J2" t="s">
        <v>16</v>
      </c>
      <c r="K2">
        <v>12.8</v>
      </c>
      <c r="L2">
        <v>2.4</v>
      </c>
      <c r="M2">
        <v>5</v>
      </c>
      <c r="N2">
        <v>2</v>
      </c>
      <c r="O2">
        <v>14.31</v>
      </c>
    </row>
    <row r="3" spans="1:19" x14ac:dyDescent="0.25">
      <c r="A3">
        <v>26</v>
      </c>
      <c r="B3">
        <v>84.7</v>
      </c>
      <c r="C3">
        <v>1.83</v>
      </c>
      <c r="D3">
        <v>166</v>
      </c>
      <c r="E3">
        <v>156</v>
      </c>
      <c r="F3">
        <v>73</v>
      </c>
      <c r="G3">
        <v>1</v>
      </c>
      <c r="H3">
        <v>833</v>
      </c>
      <c r="I3" t="s">
        <v>15</v>
      </c>
      <c r="J3" t="s">
        <v>16</v>
      </c>
      <c r="K3">
        <v>27.9</v>
      </c>
      <c r="L3">
        <v>2.8</v>
      </c>
      <c r="M3">
        <v>5</v>
      </c>
      <c r="N3">
        <v>2</v>
      </c>
      <c r="O3">
        <v>33.49</v>
      </c>
    </row>
    <row r="4" spans="1:19" x14ac:dyDescent="0.25">
      <c r="A4">
        <v>22</v>
      </c>
      <c r="B4">
        <v>64.8</v>
      </c>
      <c r="C4">
        <v>1.85</v>
      </c>
      <c r="D4">
        <v>187</v>
      </c>
      <c r="E4">
        <v>166</v>
      </c>
      <c r="F4">
        <v>64</v>
      </c>
      <c r="G4">
        <v>1.24</v>
      </c>
      <c r="H4">
        <v>1678</v>
      </c>
      <c r="I4" t="s">
        <v>17</v>
      </c>
      <c r="J4" t="s">
        <v>18</v>
      </c>
      <c r="K4">
        <v>28.7</v>
      </c>
      <c r="L4">
        <v>1.9</v>
      </c>
      <c r="M4">
        <v>3</v>
      </c>
      <c r="N4">
        <v>2</v>
      </c>
      <c r="O4">
        <v>12.73</v>
      </c>
    </row>
    <row r="5" spans="1:19" x14ac:dyDescent="0.25">
      <c r="A5">
        <v>54</v>
      </c>
      <c r="B5">
        <v>75.3</v>
      </c>
      <c r="C5">
        <v>1.82</v>
      </c>
      <c r="D5">
        <v>187</v>
      </c>
      <c r="E5">
        <v>169</v>
      </c>
      <c r="F5">
        <v>58</v>
      </c>
      <c r="G5">
        <v>1.45</v>
      </c>
      <c r="H5">
        <v>628</v>
      </c>
      <c r="I5" t="s">
        <v>17</v>
      </c>
      <c r="J5" t="s">
        <v>16</v>
      </c>
      <c r="K5">
        <v>31.8</v>
      </c>
      <c r="L5">
        <v>2.4</v>
      </c>
      <c r="M5">
        <v>4</v>
      </c>
      <c r="N5">
        <v>1</v>
      </c>
      <c r="O5">
        <v>20.37</v>
      </c>
    </row>
    <row r="6" spans="1:19" x14ac:dyDescent="0.25">
      <c r="A6">
        <v>34</v>
      </c>
      <c r="B6">
        <v>52.8</v>
      </c>
      <c r="C6">
        <v>1.74</v>
      </c>
      <c r="D6">
        <v>177</v>
      </c>
      <c r="E6">
        <v>169</v>
      </c>
      <c r="F6">
        <v>66</v>
      </c>
      <c r="G6">
        <v>1.6</v>
      </c>
      <c r="H6">
        <v>1286</v>
      </c>
      <c r="I6" t="s">
        <v>15</v>
      </c>
      <c r="J6" t="s">
        <v>16</v>
      </c>
      <c r="K6">
        <v>26.4</v>
      </c>
      <c r="L6">
        <v>3.2</v>
      </c>
      <c r="M6">
        <v>4</v>
      </c>
      <c r="N6">
        <v>2</v>
      </c>
      <c r="O6">
        <v>20.83</v>
      </c>
    </row>
    <row r="7" spans="1:19" x14ac:dyDescent="0.25">
      <c r="A7">
        <v>38</v>
      </c>
      <c r="B7">
        <v>53</v>
      </c>
      <c r="C7">
        <v>1.58</v>
      </c>
      <c r="D7">
        <v>161</v>
      </c>
      <c r="E7">
        <v>128</v>
      </c>
      <c r="F7">
        <v>74</v>
      </c>
      <c r="G7">
        <v>1.62</v>
      </c>
      <c r="H7">
        <v>953</v>
      </c>
      <c r="I7" t="s">
        <v>19</v>
      </c>
      <c r="J7" t="s">
        <v>16</v>
      </c>
      <c r="K7">
        <v>23.4</v>
      </c>
      <c r="L7">
        <v>2.5</v>
      </c>
      <c r="M7">
        <v>2</v>
      </c>
      <c r="N7">
        <v>2</v>
      </c>
      <c r="O7">
        <v>13.02</v>
      </c>
    </row>
    <row r="8" spans="1:19" x14ac:dyDescent="0.25">
      <c r="A8">
        <v>44</v>
      </c>
      <c r="B8">
        <v>46.5</v>
      </c>
      <c r="C8">
        <v>1.81</v>
      </c>
      <c r="D8">
        <v>191</v>
      </c>
      <c r="E8">
        <v>142</v>
      </c>
      <c r="F8">
        <v>74</v>
      </c>
      <c r="G8">
        <v>1.46</v>
      </c>
      <c r="H8">
        <v>1238</v>
      </c>
      <c r="I8" t="s">
        <v>17</v>
      </c>
      <c r="J8" t="s">
        <v>16</v>
      </c>
      <c r="K8">
        <v>11.9</v>
      </c>
      <c r="L8">
        <v>3.7</v>
      </c>
      <c r="M8">
        <v>2</v>
      </c>
      <c r="N8">
        <v>2</v>
      </c>
      <c r="O8">
        <v>18.12</v>
      </c>
    </row>
    <row r="9" spans="1:19" x14ac:dyDescent="0.25">
      <c r="A9">
        <v>50</v>
      </c>
      <c r="B9">
        <v>88.5</v>
      </c>
      <c r="C9">
        <v>1.63</v>
      </c>
      <c r="D9">
        <v>181</v>
      </c>
      <c r="E9">
        <v>136</v>
      </c>
      <c r="F9">
        <v>63</v>
      </c>
      <c r="G9">
        <v>1.63</v>
      </c>
      <c r="H9">
        <v>829</v>
      </c>
      <c r="I9" t="s">
        <v>15</v>
      </c>
      <c r="J9" t="s">
        <v>16</v>
      </c>
      <c r="K9">
        <v>11.6</v>
      </c>
      <c r="L9">
        <v>1.8</v>
      </c>
      <c r="M9">
        <v>4</v>
      </c>
      <c r="N9">
        <v>2</v>
      </c>
      <c r="O9">
        <v>19.16</v>
      </c>
    </row>
    <row r="10" spans="1:19" x14ac:dyDescent="0.25">
      <c r="A10">
        <v>18</v>
      </c>
      <c r="B10">
        <v>82.9</v>
      </c>
      <c r="C10">
        <v>1.54</v>
      </c>
      <c r="D10">
        <v>174</v>
      </c>
      <c r="E10">
        <v>169</v>
      </c>
      <c r="F10">
        <v>64</v>
      </c>
      <c r="G10">
        <v>0.77</v>
      </c>
      <c r="H10">
        <v>802</v>
      </c>
      <c r="I10" t="s">
        <v>19</v>
      </c>
      <c r="J10" t="s">
        <v>16</v>
      </c>
      <c r="K10">
        <v>27.8</v>
      </c>
      <c r="L10">
        <v>2.2000000000000002</v>
      </c>
      <c r="M10">
        <v>3</v>
      </c>
      <c r="N10">
        <v>1</v>
      </c>
      <c r="O10">
        <v>49.84</v>
      </c>
    </row>
    <row r="11" spans="1:19" x14ac:dyDescent="0.25">
      <c r="A11">
        <v>34</v>
      </c>
      <c r="B11">
        <v>65.900000000000006</v>
      </c>
      <c r="C11">
        <v>1.74</v>
      </c>
      <c r="D11">
        <v>195</v>
      </c>
      <c r="E11">
        <v>169</v>
      </c>
      <c r="F11">
        <v>73</v>
      </c>
      <c r="G11">
        <v>2</v>
      </c>
      <c r="H11">
        <v>1231</v>
      </c>
      <c r="I11" t="s">
        <v>20</v>
      </c>
      <c r="J11" t="s">
        <v>16</v>
      </c>
      <c r="K11">
        <v>30.5</v>
      </c>
      <c r="L11">
        <v>3.2</v>
      </c>
      <c r="M11">
        <v>5</v>
      </c>
      <c r="N11">
        <v>2</v>
      </c>
      <c r="O11">
        <v>12.32</v>
      </c>
    </row>
    <row r="12" spans="1:19" x14ac:dyDescent="0.25">
      <c r="A12">
        <v>39</v>
      </c>
      <c r="B12">
        <v>47</v>
      </c>
      <c r="C12">
        <v>1.78</v>
      </c>
      <c r="D12">
        <v>181</v>
      </c>
      <c r="E12">
        <v>155</v>
      </c>
      <c r="F12">
        <v>55</v>
      </c>
      <c r="G12">
        <v>1.89</v>
      </c>
      <c r="H12">
        <v>747</v>
      </c>
      <c r="I12" t="s">
        <v>20</v>
      </c>
      <c r="J12" t="s">
        <v>16</v>
      </c>
      <c r="K12">
        <v>31.7</v>
      </c>
      <c r="L12">
        <v>2.2999999999999998</v>
      </c>
      <c r="M12">
        <v>3</v>
      </c>
      <c r="N12">
        <v>3</v>
      </c>
      <c r="O12">
        <v>28.39</v>
      </c>
    </row>
    <row r="13" spans="1:19" x14ac:dyDescent="0.25">
      <c r="A13">
        <v>46</v>
      </c>
      <c r="B13">
        <v>40</v>
      </c>
      <c r="C13">
        <v>1.88</v>
      </c>
      <c r="D13">
        <v>168</v>
      </c>
      <c r="E13">
        <v>131</v>
      </c>
      <c r="F13">
        <v>69</v>
      </c>
      <c r="G13">
        <v>2</v>
      </c>
      <c r="H13">
        <v>672</v>
      </c>
      <c r="I13" t="s">
        <v>20</v>
      </c>
      <c r="J13" t="s">
        <v>18</v>
      </c>
      <c r="K13">
        <v>25.4</v>
      </c>
      <c r="L13">
        <v>2.4</v>
      </c>
      <c r="M13">
        <v>2</v>
      </c>
      <c r="N13">
        <v>2</v>
      </c>
      <c r="O13">
        <v>12.32</v>
      </c>
    </row>
    <row r="14" spans="1:19" x14ac:dyDescent="0.25">
      <c r="A14">
        <v>19</v>
      </c>
      <c r="B14">
        <v>87.7</v>
      </c>
      <c r="C14">
        <v>1.98</v>
      </c>
      <c r="D14">
        <v>186</v>
      </c>
      <c r="E14">
        <v>145</v>
      </c>
      <c r="F14">
        <v>50</v>
      </c>
      <c r="G14">
        <v>1.61</v>
      </c>
      <c r="H14">
        <v>1705</v>
      </c>
      <c r="I14" t="s">
        <v>15</v>
      </c>
      <c r="J14" t="s">
        <v>18</v>
      </c>
      <c r="K14">
        <v>14.1</v>
      </c>
      <c r="L14">
        <v>2.2999999999999998</v>
      </c>
      <c r="M14">
        <v>3</v>
      </c>
      <c r="N14">
        <v>2</v>
      </c>
      <c r="O14">
        <v>15.99</v>
      </c>
      <c r="Q14" s="5"/>
      <c r="R14" s="5"/>
      <c r="S14" s="5"/>
    </row>
    <row r="15" spans="1:19" x14ac:dyDescent="0.25">
      <c r="A15">
        <v>56</v>
      </c>
      <c r="B15">
        <v>107.4</v>
      </c>
      <c r="C15">
        <v>1.73</v>
      </c>
      <c r="D15">
        <v>176</v>
      </c>
      <c r="E15">
        <v>141</v>
      </c>
      <c r="F15">
        <v>71</v>
      </c>
      <c r="G15">
        <v>0.65</v>
      </c>
      <c r="H15">
        <v>1564</v>
      </c>
      <c r="I15" t="s">
        <v>19</v>
      </c>
      <c r="J15" t="s">
        <v>16</v>
      </c>
      <c r="K15">
        <v>26</v>
      </c>
      <c r="L15">
        <v>3</v>
      </c>
      <c r="M15">
        <v>2</v>
      </c>
      <c r="N15">
        <v>3</v>
      </c>
      <c r="O15">
        <v>14.48</v>
      </c>
    </row>
    <row r="16" spans="1:19" x14ac:dyDescent="0.25">
      <c r="A16">
        <v>19</v>
      </c>
      <c r="B16">
        <v>71.7</v>
      </c>
      <c r="C16">
        <v>1.91</v>
      </c>
      <c r="D16">
        <v>197</v>
      </c>
      <c r="E16">
        <v>148</v>
      </c>
      <c r="F16">
        <v>74</v>
      </c>
      <c r="G16">
        <v>1.1499999999999999</v>
      </c>
      <c r="H16">
        <v>464</v>
      </c>
      <c r="I16" t="s">
        <v>17</v>
      </c>
      <c r="J16" t="s">
        <v>16</v>
      </c>
      <c r="K16">
        <v>32.5</v>
      </c>
      <c r="L16">
        <v>2.7</v>
      </c>
      <c r="M16">
        <v>4</v>
      </c>
      <c r="N16">
        <v>2</v>
      </c>
      <c r="O16">
        <v>19.09</v>
      </c>
    </row>
    <row r="17" spans="1:19" x14ac:dyDescent="0.25">
      <c r="A17">
        <v>30</v>
      </c>
      <c r="B17">
        <v>90.6</v>
      </c>
      <c r="C17">
        <v>1.6</v>
      </c>
      <c r="D17">
        <v>161</v>
      </c>
      <c r="E17">
        <v>125</v>
      </c>
      <c r="F17">
        <v>52</v>
      </c>
      <c r="G17">
        <v>1.03</v>
      </c>
      <c r="H17">
        <v>1410</v>
      </c>
      <c r="I17" t="s">
        <v>20</v>
      </c>
      <c r="J17" t="s">
        <v>16</v>
      </c>
      <c r="K17">
        <v>16</v>
      </c>
      <c r="L17">
        <v>3.5</v>
      </c>
      <c r="M17">
        <v>4</v>
      </c>
      <c r="N17">
        <v>2</v>
      </c>
      <c r="O17">
        <v>13.91</v>
      </c>
    </row>
    <row r="18" spans="1:19" x14ac:dyDescent="0.25">
      <c r="A18">
        <v>23</v>
      </c>
      <c r="B18">
        <v>56.2</v>
      </c>
      <c r="C18">
        <v>1.76</v>
      </c>
      <c r="D18">
        <v>195</v>
      </c>
      <c r="E18">
        <v>141</v>
      </c>
      <c r="F18">
        <v>55</v>
      </c>
      <c r="G18">
        <v>1.45</v>
      </c>
      <c r="H18">
        <v>1195</v>
      </c>
      <c r="I18" t="s">
        <v>19</v>
      </c>
      <c r="J18" t="s">
        <v>18</v>
      </c>
      <c r="K18">
        <v>23.9</v>
      </c>
      <c r="L18">
        <v>3.2</v>
      </c>
      <c r="M18">
        <v>4</v>
      </c>
      <c r="N18">
        <v>1</v>
      </c>
      <c r="O18">
        <v>22.61</v>
      </c>
    </row>
    <row r="19" spans="1:19" x14ac:dyDescent="0.25">
      <c r="A19">
        <v>39</v>
      </c>
      <c r="B19">
        <v>71.3</v>
      </c>
      <c r="C19">
        <v>1.77</v>
      </c>
      <c r="D19">
        <v>171</v>
      </c>
      <c r="E19">
        <v>124</v>
      </c>
      <c r="F19">
        <v>74</v>
      </c>
      <c r="G19">
        <v>0.69</v>
      </c>
      <c r="H19">
        <v>871</v>
      </c>
      <c r="I19" t="s">
        <v>17</v>
      </c>
      <c r="J19" t="s">
        <v>16</v>
      </c>
      <c r="K19">
        <v>21.9</v>
      </c>
      <c r="L19">
        <v>2.1</v>
      </c>
      <c r="M19">
        <v>5</v>
      </c>
      <c r="N19">
        <v>1</v>
      </c>
      <c r="O19">
        <v>14.31</v>
      </c>
    </row>
    <row r="20" spans="1:19" x14ac:dyDescent="0.25">
      <c r="A20">
        <v>54</v>
      </c>
      <c r="B20">
        <v>47.7</v>
      </c>
      <c r="C20">
        <v>1.56</v>
      </c>
      <c r="D20">
        <v>181</v>
      </c>
      <c r="E20">
        <v>128</v>
      </c>
      <c r="F20">
        <v>74</v>
      </c>
      <c r="G20">
        <v>1.5</v>
      </c>
      <c r="H20">
        <v>853</v>
      </c>
      <c r="I20" t="s">
        <v>20</v>
      </c>
      <c r="J20" t="s">
        <v>16</v>
      </c>
      <c r="K20">
        <v>26.5</v>
      </c>
      <c r="L20">
        <v>1.5</v>
      </c>
      <c r="M20">
        <v>3</v>
      </c>
      <c r="N20">
        <v>1</v>
      </c>
      <c r="O20">
        <v>23.64</v>
      </c>
    </row>
    <row r="21" spans="1:19" x14ac:dyDescent="0.25">
      <c r="B21">
        <v>63</v>
      </c>
      <c r="C21">
        <v>1.51</v>
      </c>
      <c r="D21">
        <v>184</v>
      </c>
      <c r="E21">
        <v>169</v>
      </c>
      <c r="F21">
        <v>71</v>
      </c>
      <c r="G21">
        <v>1.3</v>
      </c>
      <c r="H21">
        <v>1136</v>
      </c>
      <c r="I21" t="s">
        <v>17</v>
      </c>
      <c r="J21" t="s">
        <v>18</v>
      </c>
      <c r="K21">
        <v>23.8</v>
      </c>
      <c r="L21">
        <v>2.2999999999999998</v>
      </c>
      <c r="M21">
        <v>3</v>
      </c>
      <c r="N21">
        <v>2</v>
      </c>
      <c r="O21">
        <v>22.69</v>
      </c>
    </row>
    <row r="22" spans="1:19" x14ac:dyDescent="0.25">
      <c r="A22">
        <v>26</v>
      </c>
      <c r="B22">
        <v>129.9</v>
      </c>
      <c r="C22">
        <v>1.71</v>
      </c>
      <c r="D22">
        <v>196</v>
      </c>
      <c r="E22">
        <v>136</v>
      </c>
      <c r="F22">
        <v>74</v>
      </c>
      <c r="G22">
        <v>1.27</v>
      </c>
      <c r="H22">
        <v>931</v>
      </c>
      <c r="I22" t="s">
        <v>20</v>
      </c>
      <c r="J22" t="s">
        <v>18</v>
      </c>
      <c r="K22">
        <v>26.6</v>
      </c>
      <c r="L22">
        <v>1.8</v>
      </c>
      <c r="M22">
        <v>5</v>
      </c>
      <c r="N22">
        <v>1</v>
      </c>
      <c r="O22">
        <v>21.04</v>
      </c>
    </row>
    <row r="23" spans="1:19" x14ac:dyDescent="0.25">
      <c r="A23">
        <v>22</v>
      </c>
      <c r="B23">
        <v>102.4</v>
      </c>
      <c r="C23">
        <v>1.5</v>
      </c>
      <c r="D23">
        <v>173</v>
      </c>
      <c r="E23">
        <v>156</v>
      </c>
      <c r="F23">
        <v>55</v>
      </c>
      <c r="G23">
        <v>1.44</v>
      </c>
      <c r="H23">
        <v>453</v>
      </c>
      <c r="I23" t="s">
        <v>19</v>
      </c>
      <c r="J23" t="s">
        <v>16</v>
      </c>
      <c r="K23">
        <v>17.5</v>
      </c>
      <c r="L23">
        <v>1.6</v>
      </c>
      <c r="M23">
        <v>4</v>
      </c>
      <c r="N23">
        <v>3</v>
      </c>
      <c r="O23">
        <v>18.23</v>
      </c>
    </row>
    <row r="24" spans="1:19" x14ac:dyDescent="0.25">
      <c r="A24">
        <v>36</v>
      </c>
      <c r="B24">
        <v>64.2</v>
      </c>
      <c r="C24">
        <v>1.78</v>
      </c>
      <c r="D24">
        <v>192</v>
      </c>
      <c r="E24">
        <v>130</v>
      </c>
      <c r="F24">
        <v>74</v>
      </c>
      <c r="G24">
        <v>1.38</v>
      </c>
      <c r="H24">
        <v>1708</v>
      </c>
      <c r="I24" t="s">
        <v>20</v>
      </c>
      <c r="J24" t="s">
        <v>16</v>
      </c>
      <c r="K24">
        <v>31.9</v>
      </c>
      <c r="L24">
        <v>2.1</v>
      </c>
      <c r="N24">
        <v>1</v>
      </c>
      <c r="O24">
        <v>25.59</v>
      </c>
    </row>
    <row r="25" spans="1:19" x14ac:dyDescent="0.25">
      <c r="A25">
        <v>18</v>
      </c>
      <c r="B25">
        <v>129.4</v>
      </c>
      <c r="C25">
        <v>1.5</v>
      </c>
      <c r="D25">
        <v>177</v>
      </c>
      <c r="E25">
        <v>145</v>
      </c>
      <c r="F25">
        <v>71</v>
      </c>
      <c r="H25">
        <v>772</v>
      </c>
      <c r="I25" t="s">
        <v>15</v>
      </c>
      <c r="J25" t="s">
        <v>18</v>
      </c>
      <c r="K25">
        <v>22</v>
      </c>
      <c r="L25">
        <v>1.7</v>
      </c>
      <c r="M25">
        <v>5</v>
      </c>
      <c r="N25">
        <v>1</v>
      </c>
      <c r="O25">
        <v>18.07</v>
      </c>
      <c r="Q25" s="5"/>
      <c r="R25" s="5"/>
      <c r="S25" s="5"/>
    </row>
    <row r="26" spans="1:19" x14ac:dyDescent="0.25">
      <c r="A26">
        <v>25</v>
      </c>
      <c r="B26">
        <v>57.2</v>
      </c>
      <c r="C26">
        <v>1.82</v>
      </c>
      <c r="D26">
        <v>184</v>
      </c>
      <c r="E26">
        <v>140</v>
      </c>
      <c r="F26">
        <v>74</v>
      </c>
      <c r="G26">
        <v>1.1499999999999999</v>
      </c>
      <c r="H26">
        <v>888</v>
      </c>
      <c r="I26" t="s">
        <v>15</v>
      </c>
      <c r="J26" t="s">
        <v>18</v>
      </c>
      <c r="K26">
        <v>26.9</v>
      </c>
      <c r="L26">
        <v>2.6</v>
      </c>
      <c r="M26">
        <v>4</v>
      </c>
      <c r="N26">
        <v>2</v>
      </c>
      <c r="O26">
        <v>15.23</v>
      </c>
    </row>
    <row r="27" spans="1:19" x14ac:dyDescent="0.25">
      <c r="A27">
        <v>59</v>
      </c>
      <c r="B27">
        <v>71.8</v>
      </c>
      <c r="C27">
        <v>1.5</v>
      </c>
      <c r="D27">
        <v>165</v>
      </c>
      <c r="E27">
        <v>152</v>
      </c>
      <c r="F27">
        <v>74</v>
      </c>
      <c r="G27">
        <v>1.94</v>
      </c>
      <c r="H27">
        <v>758</v>
      </c>
      <c r="I27" t="s">
        <v>20</v>
      </c>
      <c r="J27" t="s">
        <v>18</v>
      </c>
      <c r="K27">
        <v>28.9</v>
      </c>
      <c r="L27">
        <v>3.3</v>
      </c>
      <c r="M27">
        <v>3</v>
      </c>
      <c r="N27">
        <v>1</v>
      </c>
      <c r="O27">
        <v>16.87</v>
      </c>
    </row>
    <row r="28" spans="1:19" x14ac:dyDescent="0.25">
      <c r="A28">
        <v>18</v>
      </c>
      <c r="B28">
        <v>112.4</v>
      </c>
      <c r="C28">
        <v>1.71</v>
      </c>
      <c r="D28">
        <v>177</v>
      </c>
      <c r="E28">
        <v>165</v>
      </c>
      <c r="F28">
        <v>55</v>
      </c>
      <c r="G28">
        <v>1.56</v>
      </c>
      <c r="H28">
        <v>1044</v>
      </c>
      <c r="I28" t="s">
        <v>19</v>
      </c>
      <c r="J28" t="s">
        <v>18</v>
      </c>
      <c r="K28">
        <v>33.5</v>
      </c>
      <c r="L28">
        <v>1.7</v>
      </c>
      <c r="M28">
        <v>2</v>
      </c>
      <c r="N28">
        <v>2</v>
      </c>
      <c r="O28">
        <v>24.43</v>
      </c>
    </row>
    <row r="29" spans="1:19" x14ac:dyDescent="0.25">
      <c r="A29">
        <v>18</v>
      </c>
      <c r="B29">
        <v>40</v>
      </c>
      <c r="C29">
        <v>1.72</v>
      </c>
      <c r="D29">
        <v>188</v>
      </c>
      <c r="E29">
        <v>155</v>
      </c>
      <c r="F29">
        <v>74</v>
      </c>
      <c r="G29">
        <v>1.51</v>
      </c>
      <c r="H29">
        <v>1266</v>
      </c>
      <c r="I29" t="s">
        <v>17</v>
      </c>
      <c r="J29" t="s">
        <v>18</v>
      </c>
      <c r="K29">
        <v>26.4</v>
      </c>
      <c r="L29">
        <v>2.5</v>
      </c>
      <c r="M29">
        <v>2</v>
      </c>
      <c r="O29">
        <v>17.79</v>
      </c>
    </row>
    <row r="30" spans="1:19" x14ac:dyDescent="0.25">
      <c r="A30">
        <v>25</v>
      </c>
      <c r="B30">
        <v>64.3</v>
      </c>
      <c r="C30">
        <v>1.65</v>
      </c>
      <c r="D30">
        <v>183</v>
      </c>
      <c r="E30">
        <v>169</v>
      </c>
      <c r="F30">
        <v>67</v>
      </c>
      <c r="G30">
        <v>1.28</v>
      </c>
      <c r="H30">
        <v>1783</v>
      </c>
      <c r="I30" t="s">
        <v>17</v>
      </c>
      <c r="J30" t="s">
        <v>16</v>
      </c>
      <c r="K30">
        <v>20</v>
      </c>
      <c r="L30">
        <v>3.2</v>
      </c>
      <c r="M30">
        <v>2</v>
      </c>
      <c r="N30">
        <v>3</v>
      </c>
      <c r="O30">
        <v>20.59</v>
      </c>
    </row>
    <row r="31" spans="1:19" x14ac:dyDescent="0.25">
      <c r="A31">
        <v>32</v>
      </c>
      <c r="B31">
        <v>72.400000000000006</v>
      </c>
      <c r="C31">
        <v>1.74</v>
      </c>
      <c r="D31">
        <v>189</v>
      </c>
      <c r="E31">
        <v>127</v>
      </c>
      <c r="F31">
        <v>60</v>
      </c>
      <c r="G31">
        <v>1.4</v>
      </c>
      <c r="H31">
        <v>1090</v>
      </c>
      <c r="I31" t="s">
        <v>20</v>
      </c>
      <c r="J31" t="s">
        <v>18</v>
      </c>
      <c r="K31">
        <v>16.899999999999999</v>
      </c>
      <c r="L31">
        <v>1.6</v>
      </c>
      <c r="M31">
        <v>2</v>
      </c>
      <c r="N31">
        <v>1</v>
      </c>
      <c r="O31">
        <v>17.68</v>
      </c>
    </row>
    <row r="32" spans="1:19" x14ac:dyDescent="0.25">
      <c r="A32">
        <v>28</v>
      </c>
      <c r="B32">
        <v>62.4</v>
      </c>
      <c r="C32">
        <v>1.56</v>
      </c>
      <c r="D32">
        <v>193</v>
      </c>
      <c r="E32">
        <v>141</v>
      </c>
      <c r="F32">
        <v>55</v>
      </c>
      <c r="G32">
        <v>2</v>
      </c>
      <c r="H32">
        <v>861</v>
      </c>
      <c r="I32" t="s">
        <v>17</v>
      </c>
      <c r="J32" t="s">
        <v>18</v>
      </c>
      <c r="K32">
        <v>32.200000000000003</v>
      </c>
      <c r="L32">
        <v>3.6</v>
      </c>
      <c r="M32">
        <v>3</v>
      </c>
      <c r="N32">
        <v>1</v>
      </c>
      <c r="O32">
        <v>18.61</v>
      </c>
    </row>
    <row r="33" spans="1:19" x14ac:dyDescent="0.25">
      <c r="A33">
        <v>27</v>
      </c>
      <c r="B33">
        <v>78.599999999999994</v>
      </c>
      <c r="C33">
        <v>1.65</v>
      </c>
      <c r="D33">
        <v>198</v>
      </c>
      <c r="E33">
        <v>127</v>
      </c>
      <c r="F33">
        <v>66</v>
      </c>
      <c r="G33">
        <v>1.61</v>
      </c>
      <c r="H33">
        <v>938</v>
      </c>
      <c r="I33" t="s">
        <v>20</v>
      </c>
      <c r="J33" t="s">
        <v>16</v>
      </c>
      <c r="K33">
        <v>26.8</v>
      </c>
      <c r="L33">
        <v>3.1</v>
      </c>
      <c r="M33">
        <v>3</v>
      </c>
      <c r="N33">
        <v>1</v>
      </c>
      <c r="O33">
        <v>17.920000000000002</v>
      </c>
    </row>
    <row r="34" spans="1:19" x14ac:dyDescent="0.25">
      <c r="A34">
        <v>44</v>
      </c>
      <c r="B34">
        <v>45</v>
      </c>
      <c r="C34">
        <v>1.53</v>
      </c>
      <c r="D34">
        <v>199</v>
      </c>
      <c r="E34">
        <v>158</v>
      </c>
      <c r="F34">
        <v>50</v>
      </c>
      <c r="G34">
        <v>0.7</v>
      </c>
      <c r="H34">
        <v>930</v>
      </c>
      <c r="I34" t="s">
        <v>15</v>
      </c>
      <c r="J34" t="s">
        <v>16</v>
      </c>
      <c r="K34">
        <v>21.9</v>
      </c>
      <c r="L34">
        <v>3.6</v>
      </c>
      <c r="M34">
        <v>4</v>
      </c>
      <c r="N34">
        <v>1</v>
      </c>
      <c r="O34">
        <v>27.74</v>
      </c>
    </row>
    <row r="35" spans="1:19" x14ac:dyDescent="0.25">
      <c r="A35">
        <v>20</v>
      </c>
      <c r="B35">
        <v>103.4</v>
      </c>
      <c r="C35">
        <v>1.53</v>
      </c>
      <c r="D35">
        <v>180</v>
      </c>
      <c r="E35">
        <v>166</v>
      </c>
      <c r="F35">
        <v>56</v>
      </c>
      <c r="G35">
        <v>1.28</v>
      </c>
      <c r="H35">
        <v>631</v>
      </c>
      <c r="I35" t="s">
        <v>19</v>
      </c>
      <c r="J35" t="s">
        <v>16</v>
      </c>
      <c r="K35">
        <v>23</v>
      </c>
      <c r="L35">
        <v>3</v>
      </c>
      <c r="M35">
        <v>4</v>
      </c>
      <c r="N35">
        <v>1</v>
      </c>
      <c r="O35">
        <v>19.18</v>
      </c>
    </row>
    <row r="36" spans="1:19" x14ac:dyDescent="0.25">
      <c r="A36">
        <v>51</v>
      </c>
      <c r="B36">
        <v>79.2</v>
      </c>
      <c r="C36">
        <v>1.85</v>
      </c>
      <c r="D36">
        <v>178</v>
      </c>
      <c r="E36">
        <v>147</v>
      </c>
      <c r="F36">
        <v>51</v>
      </c>
      <c r="G36">
        <v>1.52</v>
      </c>
      <c r="H36">
        <v>1355</v>
      </c>
      <c r="I36" t="s">
        <v>15</v>
      </c>
      <c r="J36" t="s">
        <v>18</v>
      </c>
      <c r="K36">
        <v>23.2</v>
      </c>
      <c r="L36">
        <v>2</v>
      </c>
      <c r="M36">
        <v>4</v>
      </c>
      <c r="N36">
        <v>1</v>
      </c>
      <c r="O36">
        <v>18.95</v>
      </c>
    </row>
    <row r="37" spans="1:19" x14ac:dyDescent="0.25">
      <c r="A37">
        <v>52</v>
      </c>
      <c r="B37">
        <v>40</v>
      </c>
      <c r="C37">
        <v>1.84</v>
      </c>
      <c r="D37">
        <v>182</v>
      </c>
      <c r="E37">
        <v>156</v>
      </c>
      <c r="F37">
        <v>56</v>
      </c>
      <c r="G37">
        <v>1.2</v>
      </c>
      <c r="H37">
        <v>1258</v>
      </c>
      <c r="I37" t="s">
        <v>17</v>
      </c>
      <c r="J37" t="s">
        <v>16</v>
      </c>
      <c r="K37">
        <v>25</v>
      </c>
      <c r="L37">
        <v>2</v>
      </c>
      <c r="M37">
        <v>4</v>
      </c>
      <c r="N37">
        <v>2</v>
      </c>
      <c r="O37">
        <v>12.32</v>
      </c>
    </row>
    <row r="38" spans="1:19" x14ac:dyDescent="0.25">
      <c r="A38">
        <v>35</v>
      </c>
      <c r="B38">
        <v>75.7</v>
      </c>
      <c r="C38">
        <v>1.61</v>
      </c>
      <c r="D38">
        <v>192</v>
      </c>
      <c r="E38">
        <v>147</v>
      </c>
      <c r="F38">
        <v>52</v>
      </c>
      <c r="G38">
        <v>0.92</v>
      </c>
      <c r="H38">
        <v>1211</v>
      </c>
      <c r="I38" t="s">
        <v>15</v>
      </c>
      <c r="J38" t="s">
        <v>18</v>
      </c>
      <c r="K38">
        <v>21.2</v>
      </c>
      <c r="L38">
        <v>2.4</v>
      </c>
      <c r="M38">
        <v>3</v>
      </c>
      <c r="N38">
        <v>2</v>
      </c>
      <c r="O38">
        <v>23.19</v>
      </c>
    </row>
    <row r="39" spans="1:19" x14ac:dyDescent="0.25">
      <c r="A39">
        <v>21</v>
      </c>
      <c r="B39">
        <v>76.8</v>
      </c>
      <c r="C39">
        <v>1.75</v>
      </c>
      <c r="D39">
        <v>166</v>
      </c>
      <c r="E39">
        <v>125</v>
      </c>
      <c r="F39">
        <v>74</v>
      </c>
      <c r="G39">
        <v>1.56</v>
      </c>
      <c r="H39">
        <v>1152</v>
      </c>
      <c r="I39" t="s">
        <v>15</v>
      </c>
      <c r="J39" t="s">
        <v>18</v>
      </c>
      <c r="K39">
        <v>25.1</v>
      </c>
      <c r="L39">
        <v>2.7</v>
      </c>
      <c r="M39">
        <v>3</v>
      </c>
      <c r="N39">
        <v>1</v>
      </c>
      <c r="O39">
        <v>16.66</v>
      </c>
    </row>
    <row r="40" spans="1:19" x14ac:dyDescent="0.25">
      <c r="A40">
        <v>48</v>
      </c>
      <c r="B40">
        <v>112.6</v>
      </c>
      <c r="C40">
        <v>1.69</v>
      </c>
      <c r="D40">
        <v>160</v>
      </c>
      <c r="E40">
        <v>162</v>
      </c>
      <c r="F40">
        <v>63</v>
      </c>
      <c r="G40">
        <v>0.89</v>
      </c>
      <c r="H40">
        <v>1482</v>
      </c>
      <c r="I40" t="s">
        <v>17</v>
      </c>
      <c r="J40" t="s">
        <v>16</v>
      </c>
      <c r="K40">
        <v>22.6</v>
      </c>
      <c r="L40">
        <v>2.5</v>
      </c>
      <c r="M40">
        <v>4</v>
      </c>
      <c r="N40">
        <v>2</v>
      </c>
      <c r="O40">
        <v>12.32</v>
      </c>
      <c r="Q40" s="5"/>
      <c r="R40" s="5"/>
      <c r="S40" s="5"/>
    </row>
    <row r="41" spans="1:19" x14ac:dyDescent="0.25">
      <c r="A41">
        <v>18</v>
      </c>
      <c r="B41">
        <v>73.7</v>
      </c>
      <c r="C41">
        <v>1.78</v>
      </c>
      <c r="D41">
        <v>192</v>
      </c>
      <c r="E41">
        <v>154</v>
      </c>
      <c r="F41">
        <v>73</v>
      </c>
      <c r="G41">
        <v>1.18</v>
      </c>
      <c r="H41">
        <v>851</v>
      </c>
      <c r="I41" t="s">
        <v>15</v>
      </c>
      <c r="J41" t="s">
        <v>18</v>
      </c>
      <c r="K41">
        <v>27.4</v>
      </c>
      <c r="L41">
        <v>2.6</v>
      </c>
      <c r="M41">
        <v>2</v>
      </c>
      <c r="N41">
        <v>2</v>
      </c>
      <c r="O41">
        <v>21.08</v>
      </c>
    </row>
    <row r="42" spans="1:19" x14ac:dyDescent="0.25">
      <c r="A42">
        <v>18</v>
      </c>
      <c r="B42">
        <v>84</v>
      </c>
      <c r="C42">
        <v>1.71</v>
      </c>
      <c r="D42">
        <v>194</v>
      </c>
      <c r="E42">
        <v>148</v>
      </c>
      <c r="F42">
        <v>52</v>
      </c>
      <c r="G42">
        <v>0.92</v>
      </c>
      <c r="H42">
        <v>621</v>
      </c>
      <c r="I42" t="s">
        <v>15</v>
      </c>
      <c r="J42" t="s">
        <v>16</v>
      </c>
      <c r="K42">
        <v>28.3</v>
      </c>
      <c r="L42">
        <v>3.4</v>
      </c>
      <c r="M42">
        <v>3</v>
      </c>
      <c r="N42">
        <v>3</v>
      </c>
      <c r="O42">
        <v>17.989999999999998</v>
      </c>
    </row>
    <row r="43" spans="1:19" x14ac:dyDescent="0.25">
      <c r="A43">
        <v>28</v>
      </c>
      <c r="B43">
        <v>68</v>
      </c>
      <c r="C43">
        <v>1.7</v>
      </c>
      <c r="D43">
        <v>174</v>
      </c>
      <c r="E43">
        <v>155</v>
      </c>
      <c r="F43">
        <v>68</v>
      </c>
      <c r="G43">
        <v>0.74</v>
      </c>
      <c r="H43">
        <v>1464</v>
      </c>
      <c r="I43" t="s">
        <v>20</v>
      </c>
      <c r="J43" t="s">
        <v>18</v>
      </c>
      <c r="K43">
        <v>17</v>
      </c>
      <c r="L43">
        <v>2.2999999999999998</v>
      </c>
      <c r="M43">
        <v>3</v>
      </c>
      <c r="N43">
        <v>2</v>
      </c>
      <c r="O43">
        <v>21.67</v>
      </c>
    </row>
    <row r="44" spans="1:19" x14ac:dyDescent="0.25">
      <c r="A44">
        <v>23</v>
      </c>
      <c r="B44">
        <v>107.6</v>
      </c>
      <c r="C44">
        <v>1.5</v>
      </c>
      <c r="D44">
        <v>175</v>
      </c>
      <c r="E44">
        <v>136</v>
      </c>
      <c r="F44">
        <v>71</v>
      </c>
      <c r="G44">
        <v>1.53</v>
      </c>
      <c r="H44">
        <v>1062</v>
      </c>
      <c r="I44" t="s">
        <v>17</v>
      </c>
      <c r="J44" t="s">
        <v>18</v>
      </c>
      <c r="K44">
        <v>10</v>
      </c>
      <c r="L44">
        <v>2.2999999999999998</v>
      </c>
      <c r="M44">
        <v>5</v>
      </c>
      <c r="N44">
        <v>3</v>
      </c>
      <c r="O44">
        <v>23.77</v>
      </c>
    </row>
    <row r="45" spans="1:19" x14ac:dyDescent="0.25">
      <c r="A45">
        <v>30</v>
      </c>
      <c r="B45">
        <v>54.3</v>
      </c>
      <c r="C45">
        <v>1.82</v>
      </c>
      <c r="D45">
        <v>185</v>
      </c>
      <c r="E45">
        <v>168</v>
      </c>
      <c r="F45">
        <v>66</v>
      </c>
      <c r="G45">
        <v>1.4</v>
      </c>
      <c r="H45">
        <v>1415</v>
      </c>
      <c r="J45" t="s">
        <v>16</v>
      </c>
      <c r="K45">
        <v>25.4</v>
      </c>
      <c r="L45">
        <v>3.6</v>
      </c>
      <c r="M45">
        <v>3</v>
      </c>
      <c r="N45">
        <v>1</v>
      </c>
      <c r="O45">
        <v>26.4</v>
      </c>
    </row>
    <row r="46" spans="1:19" x14ac:dyDescent="0.25">
      <c r="A46">
        <v>18</v>
      </c>
      <c r="B46">
        <v>42.8</v>
      </c>
      <c r="C46">
        <v>1.89</v>
      </c>
      <c r="D46">
        <v>194</v>
      </c>
      <c r="E46">
        <v>162</v>
      </c>
      <c r="F46">
        <v>73</v>
      </c>
      <c r="G46">
        <v>2</v>
      </c>
      <c r="H46">
        <v>736</v>
      </c>
      <c r="J46" t="s">
        <v>16</v>
      </c>
      <c r="K46">
        <v>22.5</v>
      </c>
      <c r="L46">
        <v>1.5</v>
      </c>
      <c r="M46">
        <v>3</v>
      </c>
      <c r="N46">
        <v>2</v>
      </c>
      <c r="O46">
        <v>18.54</v>
      </c>
    </row>
    <row r="47" spans="1:19" x14ac:dyDescent="0.25">
      <c r="A47">
        <v>37</v>
      </c>
      <c r="B47">
        <v>55.4</v>
      </c>
      <c r="C47">
        <v>1.68</v>
      </c>
      <c r="D47">
        <v>197</v>
      </c>
      <c r="E47">
        <v>150</v>
      </c>
      <c r="F47">
        <v>52</v>
      </c>
      <c r="G47">
        <v>1.04</v>
      </c>
      <c r="H47">
        <v>338</v>
      </c>
      <c r="I47" t="s">
        <v>17</v>
      </c>
      <c r="K47">
        <v>27.4</v>
      </c>
      <c r="L47">
        <v>3.2</v>
      </c>
      <c r="N47">
        <v>3</v>
      </c>
      <c r="O47">
        <v>17.71</v>
      </c>
    </row>
    <row r="48" spans="1:19" x14ac:dyDescent="0.25">
      <c r="A48">
        <v>49</v>
      </c>
      <c r="B48">
        <v>102.4</v>
      </c>
      <c r="C48">
        <v>1.65</v>
      </c>
      <c r="D48">
        <v>185</v>
      </c>
      <c r="E48">
        <v>148</v>
      </c>
      <c r="F48">
        <v>68</v>
      </c>
      <c r="G48">
        <v>1.27</v>
      </c>
      <c r="H48">
        <v>980</v>
      </c>
      <c r="I48" t="s">
        <v>17</v>
      </c>
      <c r="J48" t="s">
        <v>16</v>
      </c>
      <c r="K48">
        <v>34.799999999999997</v>
      </c>
      <c r="L48">
        <v>2</v>
      </c>
      <c r="M48">
        <v>5</v>
      </c>
      <c r="O48">
        <v>15.52</v>
      </c>
    </row>
    <row r="49" spans="1:19" x14ac:dyDescent="0.25">
      <c r="A49">
        <v>42</v>
      </c>
      <c r="B49">
        <v>95.5</v>
      </c>
      <c r="C49">
        <v>1.95</v>
      </c>
      <c r="D49">
        <v>168</v>
      </c>
      <c r="E49">
        <v>125</v>
      </c>
      <c r="F49">
        <v>72</v>
      </c>
      <c r="G49">
        <v>1.91</v>
      </c>
      <c r="H49">
        <v>632</v>
      </c>
      <c r="I49" t="s">
        <v>19</v>
      </c>
      <c r="J49" t="s">
        <v>16</v>
      </c>
      <c r="K49">
        <v>26.1</v>
      </c>
      <c r="L49">
        <v>2</v>
      </c>
      <c r="M49">
        <v>4</v>
      </c>
      <c r="N49">
        <v>1</v>
      </c>
      <c r="O49">
        <v>12.32</v>
      </c>
    </row>
    <row r="50" spans="1:19" x14ac:dyDescent="0.25">
      <c r="A50">
        <v>27</v>
      </c>
      <c r="B50">
        <v>58.7</v>
      </c>
      <c r="C50">
        <v>1.98</v>
      </c>
      <c r="D50">
        <v>199</v>
      </c>
      <c r="E50">
        <v>145</v>
      </c>
      <c r="F50">
        <v>52</v>
      </c>
      <c r="G50">
        <v>2</v>
      </c>
      <c r="H50">
        <v>1119</v>
      </c>
      <c r="I50" t="s">
        <v>17</v>
      </c>
      <c r="J50" t="s">
        <v>16</v>
      </c>
      <c r="K50">
        <v>23</v>
      </c>
      <c r="L50">
        <v>2.7</v>
      </c>
      <c r="M50">
        <v>2</v>
      </c>
      <c r="N50">
        <v>3</v>
      </c>
      <c r="O50">
        <v>18.989999999999998</v>
      </c>
    </row>
    <row r="51" spans="1:19" x14ac:dyDescent="0.25">
      <c r="A51">
        <v>35</v>
      </c>
      <c r="B51">
        <v>49.7</v>
      </c>
      <c r="C51">
        <v>1.86</v>
      </c>
      <c r="D51">
        <v>161</v>
      </c>
      <c r="E51">
        <v>156</v>
      </c>
      <c r="F51">
        <v>62</v>
      </c>
      <c r="G51">
        <v>1.1200000000000001</v>
      </c>
      <c r="H51">
        <v>867</v>
      </c>
      <c r="I51" t="s">
        <v>15</v>
      </c>
      <c r="J51" t="s">
        <v>16</v>
      </c>
      <c r="K51">
        <v>15.2</v>
      </c>
      <c r="L51">
        <v>1.8</v>
      </c>
      <c r="M51">
        <v>4</v>
      </c>
      <c r="N51">
        <v>3</v>
      </c>
      <c r="O51">
        <v>12.32</v>
      </c>
    </row>
    <row r="52" spans="1:19" x14ac:dyDescent="0.25">
      <c r="A52">
        <v>24</v>
      </c>
      <c r="B52">
        <v>86.5</v>
      </c>
      <c r="C52">
        <v>1.65</v>
      </c>
      <c r="D52">
        <v>196</v>
      </c>
      <c r="E52">
        <v>169</v>
      </c>
      <c r="F52">
        <v>59</v>
      </c>
      <c r="G52">
        <v>1.08</v>
      </c>
      <c r="H52">
        <v>771</v>
      </c>
      <c r="I52" t="s">
        <v>17</v>
      </c>
      <c r="J52" t="s">
        <v>16</v>
      </c>
      <c r="K52">
        <v>27.3</v>
      </c>
      <c r="L52">
        <v>2.1</v>
      </c>
      <c r="M52">
        <v>3</v>
      </c>
      <c r="N52">
        <v>1</v>
      </c>
      <c r="O52">
        <v>12.9</v>
      </c>
    </row>
    <row r="53" spans="1:19" x14ac:dyDescent="0.25">
      <c r="A53">
        <v>44</v>
      </c>
      <c r="B53">
        <v>63.6</v>
      </c>
      <c r="C53">
        <v>1.78</v>
      </c>
      <c r="D53">
        <v>167</v>
      </c>
      <c r="E53">
        <v>129</v>
      </c>
      <c r="F53">
        <v>74</v>
      </c>
      <c r="G53">
        <v>1.34</v>
      </c>
      <c r="H53">
        <v>1165</v>
      </c>
      <c r="I53" t="s">
        <v>20</v>
      </c>
      <c r="J53" t="s">
        <v>16</v>
      </c>
      <c r="K53">
        <v>10.7</v>
      </c>
      <c r="L53">
        <v>3.4</v>
      </c>
      <c r="M53">
        <v>4</v>
      </c>
      <c r="N53">
        <v>1</v>
      </c>
      <c r="O53">
        <v>15.73</v>
      </c>
    </row>
    <row r="54" spans="1:19" x14ac:dyDescent="0.25">
      <c r="A54">
        <v>52</v>
      </c>
      <c r="B54">
        <v>58.7</v>
      </c>
      <c r="C54">
        <v>1.58</v>
      </c>
      <c r="D54">
        <v>169</v>
      </c>
      <c r="E54">
        <v>131</v>
      </c>
      <c r="F54">
        <v>53</v>
      </c>
      <c r="G54">
        <v>1.1399999999999999</v>
      </c>
      <c r="H54">
        <v>900</v>
      </c>
      <c r="I54" t="s">
        <v>19</v>
      </c>
      <c r="J54" t="s">
        <v>18</v>
      </c>
      <c r="K54">
        <v>28.5</v>
      </c>
      <c r="L54">
        <v>3.3</v>
      </c>
      <c r="M54">
        <v>3</v>
      </c>
      <c r="O54">
        <v>19.62</v>
      </c>
    </row>
    <row r="55" spans="1:19" x14ac:dyDescent="0.25">
      <c r="A55">
        <v>49</v>
      </c>
      <c r="B55">
        <v>56.6</v>
      </c>
      <c r="C55">
        <v>1.75</v>
      </c>
      <c r="D55">
        <v>198</v>
      </c>
      <c r="E55">
        <v>120</v>
      </c>
      <c r="F55">
        <v>72</v>
      </c>
      <c r="G55">
        <v>1.1200000000000001</v>
      </c>
      <c r="H55">
        <v>1767</v>
      </c>
      <c r="I55" t="s">
        <v>20</v>
      </c>
      <c r="J55" t="s">
        <v>16</v>
      </c>
      <c r="K55">
        <v>23.6</v>
      </c>
      <c r="L55">
        <v>2.6</v>
      </c>
      <c r="M55">
        <v>2</v>
      </c>
      <c r="N55">
        <v>2</v>
      </c>
      <c r="O55">
        <v>34.369999999999997</v>
      </c>
      <c r="Q55" s="5"/>
      <c r="R55" s="5"/>
      <c r="S55" s="5"/>
    </row>
    <row r="56" spans="1:19" x14ac:dyDescent="0.25">
      <c r="A56">
        <v>36</v>
      </c>
      <c r="B56">
        <v>40</v>
      </c>
      <c r="C56">
        <v>1.71</v>
      </c>
      <c r="D56">
        <v>178</v>
      </c>
      <c r="E56">
        <v>169</v>
      </c>
      <c r="F56">
        <v>69</v>
      </c>
      <c r="G56">
        <v>1.3</v>
      </c>
      <c r="H56">
        <v>1519</v>
      </c>
      <c r="I56" t="s">
        <v>19</v>
      </c>
      <c r="J56" t="s">
        <v>16</v>
      </c>
      <c r="K56">
        <v>27.5</v>
      </c>
      <c r="L56">
        <v>2.7</v>
      </c>
      <c r="M56">
        <v>4</v>
      </c>
      <c r="N56">
        <v>1</v>
      </c>
      <c r="O56">
        <v>39.74</v>
      </c>
    </row>
    <row r="57" spans="1:19" x14ac:dyDescent="0.25">
      <c r="A57">
        <v>23</v>
      </c>
      <c r="B57">
        <v>67.7</v>
      </c>
      <c r="C57">
        <v>1.73</v>
      </c>
      <c r="D57">
        <v>188</v>
      </c>
      <c r="E57">
        <v>162</v>
      </c>
      <c r="F57">
        <v>54</v>
      </c>
      <c r="G57">
        <v>1.76</v>
      </c>
      <c r="H57">
        <v>954</v>
      </c>
      <c r="I57" t="s">
        <v>20</v>
      </c>
      <c r="J57" t="s">
        <v>16</v>
      </c>
      <c r="K57">
        <v>18</v>
      </c>
      <c r="L57">
        <v>3.2</v>
      </c>
      <c r="M57">
        <v>3</v>
      </c>
      <c r="N57">
        <v>1</v>
      </c>
      <c r="O57">
        <v>16.07</v>
      </c>
    </row>
    <row r="58" spans="1:19" x14ac:dyDescent="0.25">
      <c r="A58">
        <v>56</v>
      </c>
      <c r="B58">
        <v>40</v>
      </c>
      <c r="C58">
        <v>1.74</v>
      </c>
      <c r="D58">
        <v>172</v>
      </c>
      <c r="E58">
        <v>146</v>
      </c>
      <c r="F58">
        <v>74</v>
      </c>
      <c r="G58">
        <v>1.43</v>
      </c>
      <c r="H58">
        <v>876</v>
      </c>
      <c r="I58" t="s">
        <v>20</v>
      </c>
      <c r="J58" t="s">
        <v>16</v>
      </c>
      <c r="K58">
        <v>26</v>
      </c>
      <c r="L58">
        <v>3.4</v>
      </c>
      <c r="M58">
        <v>2</v>
      </c>
      <c r="N58">
        <v>1</v>
      </c>
      <c r="O58">
        <v>19.63</v>
      </c>
    </row>
    <row r="59" spans="1:19" x14ac:dyDescent="0.25">
      <c r="A59">
        <v>48</v>
      </c>
      <c r="B59">
        <v>68</v>
      </c>
      <c r="C59">
        <v>1.69</v>
      </c>
      <c r="D59">
        <v>185</v>
      </c>
      <c r="E59">
        <v>144</v>
      </c>
      <c r="F59">
        <v>68</v>
      </c>
      <c r="G59">
        <v>1.23</v>
      </c>
      <c r="H59">
        <v>695</v>
      </c>
      <c r="I59" t="s">
        <v>20</v>
      </c>
      <c r="K59">
        <v>14.2</v>
      </c>
      <c r="L59">
        <v>2.6</v>
      </c>
      <c r="M59">
        <v>2</v>
      </c>
      <c r="N59">
        <v>1</v>
      </c>
      <c r="O59">
        <v>28.93</v>
      </c>
    </row>
    <row r="60" spans="1:19" x14ac:dyDescent="0.25">
      <c r="A60">
        <v>24</v>
      </c>
      <c r="B60">
        <v>68.3</v>
      </c>
      <c r="C60">
        <v>1.74</v>
      </c>
      <c r="D60">
        <v>184</v>
      </c>
      <c r="E60">
        <v>161</v>
      </c>
      <c r="F60">
        <v>51</v>
      </c>
      <c r="G60">
        <v>1.9</v>
      </c>
      <c r="H60">
        <v>566</v>
      </c>
      <c r="I60" t="s">
        <v>17</v>
      </c>
      <c r="J60" t="s">
        <v>18</v>
      </c>
      <c r="K60">
        <v>27.5</v>
      </c>
      <c r="L60">
        <v>3.5</v>
      </c>
      <c r="M60">
        <v>4</v>
      </c>
      <c r="O60">
        <v>16.260000000000002</v>
      </c>
    </row>
    <row r="61" spans="1:19" x14ac:dyDescent="0.25">
      <c r="A61">
        <v>22</v>
      </c>
      <c r="B61">
        <v>99.1</v>
      </c>
      <c r="C61">
        <v>1.72</v>
      </c>
      <c r="D61">
        <v>182</v>
      </c>
      <c r="E61">
        <v>169</v>
      </c>
      <c r="F61">
        <v>62</v>
      </c>
      <c r="G61">
        <v>1.1399999999999999</v>
      </c>
      <c r="H61">
        <v>1105</v>
      </c>
      <c r="I61" t="s">
        <v>20</v>
      </c>
      <c r="J61" t="s">
        <v>16</v>
      </c>
      <c r="K61">
        <v>31.4</v>
      </c>
      <c r="L61">
        <v>3.6</v>
      </c>
      <c r="M61">
        <v>4</v>
      </c>
      <c r="N61">
        <v>1</v>
      </c>
      <c r="O61">
        <v>16.91</v>
      </c>
    </row>
    <row r="62" spans="1:19" x14ac:dyDescent="0.25">
      <c r="A62">
        <v>20</v>
      </c>
      <c r="B62">
        <v>72.900000000000006</v>
      </c>
      <c r="C62">
        <v>1.63</v>
      </c>
      <c r="D62">
        <v>164</v>
      </c>
      <c r="E62">
        <v>156</v>
      </c>
      <c r="F62">
        <v>51</v>
      </c>
      <c r="G62">
        <v>1.1100000000000001</v>
      </c>
      <c r="H62">
        <v>582</v>
      </c>
      <c r="I62" t="s">
        <v>15</v>
      </c>
      <c r="J62" t="s">
        <v>16</v>
      </c>
      <c r="K62">
        <v>27.1</v>
      </c>
      <c r="L62">
        <v>3.2</v>
      </c>
      <c r="M62">
        <v>3</v>
      </c>
      <c r="N62">
        <v>2</v>
      </c>
      <c r="O62">
        <v>19.829999999999998</v>
      </c>
    </row>
    <row r="63" spans="1:19" x14ac:dyDescent="0.25">
      <c r="A63">
        <v>44</v>
      </c>
      <c r="B63">
        <v>40</v>
      </c>
      <c r="C63">
        <v>1.68</v>
      </c>
      <c r="D63">
        <v>175</v>
      </c>
      <c r="E63">
        <v>156</v>
      </c>
      <c r="F63">
        <v>74</v>
      </c>
      <c r="G63">
        <v>1.04</v>
      </c>
      <c r="H63">
        <v>1010</v>
      </c>
      <c r="I63" t="s">
        <v>17</v>
      </c>
      <c r="J63" t="s">
        <v>16</v>
      </c>
      <c r="K63">
        <v>28.1</v>
      </c>
      <c r="L63">
        <v>1.8</v>
      </c>
      <c r="M63">
        <v>3</v>
      </c>
      <c r="N63">
        <v>3</v>
      </c>
      <c r="O63">
        <v>12.32</v>
      </c>
    </row>
    <row r="64" spans="1:19" x14ac:dyDescent="0.25">
      <c r="A64">
        <v>33</v>
      </c>
      <c r="B64">
        <v>58.3</v>
      </c>
      <c r="C64">
        <v>1.77</v>
      </c>
      <c r="D64">
        <v>167</v>
      </c>
      <c r="E64">
        <v>153</v>
      </c>
      <c r="F64">
        <v>74</v>
      </c>
      <c r="G64">
        <v>1.41</v>
      </c>
      <c r="H64">
        <v>969</v>
      </c>
      <c r="I64" t="s">
        <v>15</v>
      </c>
      <c r="J64" t="s">
        <v>16</v>
      </c>
      <c r="K64">
        <v>29.5</v>
      </c>
      <c r="L64">
        <v>2.6</v>
      </c>
      <c r="M64">
        <v>2</v>
      </c>
      <c r="N64">
        <v>1</v>
      </c>
      <c r="O64">
        <v>20.47</v>
      </c>
    </row>
    <row r="65" spans="1:15" x14ac:dyDescent="0.25">
      <c r="A65">
        <v>18</v>
      </c>
      <c r="B65">
        <v>40</v>
      </c>
      <c r="C65">
        <v>1.64</v>
      </c>
      <c r="D65">
        <v>177</v>
      </c>
      <c r="E65">
        <v>134</v>
      </c>
      <c r="F65">
        <v>53</v>
      </c>
      <c r="G65">
        <v>0.98</v>
      </c>
      <c r="H65">
        <v>468</v>
      </c>
      <c r="I65" t="s">
        <v>22</v>
      </c>
      <c r="J65" t="s">
        <v>18</v>
      </c>
      <c r="K65">
        <v>25.6</v>
      </c>
      <c r="L65">
        <v>2.1</v>
      </c>
      <c r="M65">
        <v>3</v>
      </c>
      <c r="N65">
        <v>3</v>
      </c>
      <c r="O65">
        <v>18.78</v>
      </c>
    </row>
    <row r="66" spans="1:15" x14ac:dyDescent="0.25">
      <c r="A66">
        <v>59</v>
      </c>
      <c r="B66">
        <v>45.8</v>
      </c>
      <c r="C66">
        <v>1.5</v>
      </c>
      <c r="D66">
        <v>163</v>
      </c>
      <c r="E66">
        <v>137</v>
      </c>
      <c r="F66">
        <v>55</v>
      </c>
      <c r="G66">
        <v>1.98</v>
      </c>
      <c r="H66">
        <v>1306</v>
      </c>
      <c r="I66" t="s">
        <v>23</v>
      </c>
      <c r="J66" t="s">
        <v>18</v>
      </c>
      <c r="K66">
        <v>24</v>
      </c>
      <c r="L66">
        <v>2.9</v>
      </c>
      <c r="M66">
        <v>4</v>
      </c>
      <c r="N66">
        <v>2</v>
      </c>
      <c r="O66">
        <v>26.25</v>
      </c>
    </row>
    <row r="67" spans="1:15" x14ac:dyDescent="0.25">
      <c r="A67">
        <v>27</v>
      </c>
      <c r="B67">
        <v>52.3</v>
      </c>
      <c r="C67">
        <v>1.75</v>
      </c>
      <c r="D67">
        <v>180</v>
      </c>
      <c r="E67">
        <v>128</v>
      </c>
      <c r="F67">
        <v>61</v>
      </c>
      <c r="G67">
        <v>1.92</v>
      </c>
      <c r="H67">
        <v>931</v>
      </c>
      <c r="I67" t="s">
        <v>15</v>
      </c>
      <c r="J67" t="s">
        <v>18</v>
      </c>
      <c r="K67">
        <v>15</v>
      </c>
      <c r="L67">
        <v>2.5</v>
      </c>
      <c r="M67">
        <v>4</v>
      </c>
      <c r="N67">
        <v>2</v>
      </c>
      <c r="O67">
        <v>23.23</v>
      </c>
    </row>
    <row r="68" spans="1:15" x14ac:dyDescent="0.25">
      <c r="A68">
        <v>33</v>
      </c>
      <c r="B68">
        <v>76.3</v>
      </c>
      <c r="C68">
        <v>1.95</v>
      </c>
      <c r="D68">
        <v>188</v>
      </c>
      <c r="E68">
        <v>125</v>
      </c>
      <c r="F68">
        <v>72</v>
      </c>
      <c r="G68">
        <v>0.95</v>
      </c>
      <c r="H68">
        <v>899</v>
      </c>
      <c r="I68" t="s">
        <v>15</v>
      </c>
      <c r="J68" t="s">
        <v>16</v>
      </c>
      <c r="K68">
        <v>21.7</v>
      </c>
      <c r="L68">
        <v>2.2999999999999998</v>
      </c>
      <c r="M68">
        <v>5</v>
      </c>
      <c r="N68">
        <v>1</v>
      </c>
      <c r="O68">
        <v>26.08</v>
      </c>
    </row>
    <row r="69" spans="1:15" x14ac:dyDescent="0.25">
      <c r="A69">
        <v>47</v>
      </c>
      <c r="B69">
        <v>77.5</v>
      </c>
      <c r="C69">
        <v>1.72</v>
      </c>
      <c r="D69">
        <v>176</v>
      </c>
      <c r="E69">
        <v>151</v>
      </c>
      <c r="F69">
        <v>56</v>
      </c>
      <c r="G69">
        <v>1.39</v>
      </c>
      <c r="H69">
        <v>679</v>
      </c>
      <c r="I69" t="s">
        <v>17</v>
      </c>
      <c r="J69" t="s">
        <v>18</v>
      </c>
      <c r="K69">
        <v>13.3</v>
      </c>
      <c r="L69">
        <v>3.5</v>
      </c>
      <c r="M69">
        <v>2</v>
      </c>
      <c r="N69">
        <v>3</v>
      </c>
      <c r="O69">
        <v>24.32</v>
      </c>
    </row>
    <row r="70" spans="1:15" x14ac:dyDescent="0.25">
      <c r="A70">
        <v>18</v>
      </c>
      <c r="C70">
        <v>1.8</v>
      </c>
      <c r="D70">
        <v>197</v>
      </c>
      <c r="E70">
        <v>165</v>
      </c>
      <c r="F70">
        <v>56</v>
      </c>
      <c r="G70">
        <v>0.74</v>
      </c>
      <c r="H70">
        <v>1208</v>
      </c>
      <c r="I70" t="s">
        <v>19</v>
      </c>
      <c r="J70" t="s">
        <v>18</v>
      </c>
      <c r="K70">
        <v>26.1</v>
      </c>
      <c r="L70">
        <v>3.3</v>
      </c>
      <c r="M70">
        <v>3</v>
      </c>
      <c r="N70">
        <v>3</v>
      </c>
      <c r="O70">
        <v>12.32</v>
      </c>
    </row>
    <row r="71" spans="1:15" x14ac:dyDescent="0.25">
      <c r="A71">
        <v>46</v>
      </c>
      <c r="B71">
        <v>40</v>
      </c>
      <c r="C71">
        <v>1.58</v>
      </c>
      <c r="D71">
        <v>177</v>
      </c>
      <c r="E71">
        <v>132</v>
      </c>
      <c r="F71">
        <v>58</v>
      </c>
      <c r="G71">
        <v>1.29</v>
      </c>
      <c r="H71">
        <v>1189</v>
      </c>
      <c r="I71" t="s">
        <v>15</v>
      </c>
      <c r="J71" t="s">
        <v>16</v>
      </c>
      <c r="K71">
        <v>31.1</v>
      </c>
      <c r="L71">
        <v>2.5</v>
      </c>
      <c r="N71">
        <v>2</v>
      </c>
      <c r="O71">
        <v>12.73</v>
      </c>
    </row>
    <row r="72" spans="1:15" x14ac:dyDescent="0.25">
      <c r="A72">
        <v>27</v>
      </c>
      <c r="B72">
        <v>96.3</v>
      </c>
      <c r="C72">
        <v>1.61</v>
      </c>
      <c r="D72">
        <v>198</v>
      </c>
      <c r="E72">
        <v>159</v>
      </c>
      <c r="F72">
        <v>70</v>
      </c>
      <c r="G72">
        <v>1.1599999999999999</v>
      </c>
      <c r="H72">
        <v>1203</v>
      </c>
      <c r="I72" t="s">
        <v>17</v>
      </c>
      <c r="J72" t="s">
        <v>18</v>
      </c>
      <c r="K72">
        <v>32.1</v>
      </c>
      <c r="L72">
        <v>3.1</v>
      </c>
      <c r="M72">
        <v>3</v>
      </c>
      <c r="N72">
        <v>1</v>
      </c>
      <c r="O72">
        <v>12.32</v>
      </c>
    </row>
    <row r="73" spans="1:15" x14ac:dyDescent="0.25">
      <c r="A73">
        <v>34</v>
      </c>
      <c r="B73">
        <v>49.6</v>
      </c>
      <c r="C73">
        <v>1.52</v>
      </c>
      <c r="D73">
        <v>191</v>
      </c>
      <c r="F73">
        <v>59</v>
      </c>
      <c r="G73">
        <v>1.59</v>
      </c>
      <c r="H73">
        <v>744</v>
      </c>
      <c r="I73" t="s">
        <v>19</v>
      </c>
      <c r="J73" t="s">
        <v>16</v>
      </c>
      <c r="K73">
        <v>22.2</v>
      </c>
      <c r="L73">
        <v>1.6</v>
      </c>
      <c r="M73">
        <v>3</v>
      </c>
      <c r="N73">
        <v>1</v>
      </c>
      <c r="O73">
        <v>20.97</v>
      </c>
    </row>
    <row r="74" spans="1:15" x14ac:dyDescent="0.25">
      <c r="A74">
        <v>45</v>
      </c>
      <c r="B74">
        <v>86.4</v>
      </c>
      <c r="C74">
        <v>1.51</v>
      </c>
      <c r="E74">
        <v>159</v>
      </c>
      <c r="F74">
        <v>69</v>
      </c>
      <c r="G74">
        <v>1.23</v>
      </c>
      <c r="H74">
        <v>1313</v>
      </c>
      <c r="I74" t="s">
        <v>23</v>
      </c>
      <c r="J74" t="s">
        <v>18</v>
      </c>
      <c r="K74">
        <v>35</v>
      </c>
      <c r="L74">
        <v>3.3</v>
      </c>
      <c r="M74">
        <v>3</v>
      </c>
      <c r="N74">
        <v>3</v>
      </c>
      <c r="O74">
        <v>16.059999999999999</v>
      </c>
    </row>
    <row r="75" spans="1:15" x14ac:dyDescent="0.25">
      <c r="A75">
        <v>55</v>
      </c>
      <c r="B75">
        <v>68.400000000000006</v>
      </c>
      <c r="C75">
        <v>1.85</v>
      </c>
      <c r="D75">
        <v>175</v>
      </c>
      <c r="E75">
        <v>150</v>
      </c>
      <c r="F75">
        <v>58</v>
      </c>
      <c r="G75">
        <v>1.1599999999999999</v>
      </c>
      <c r="H75">
        <v>1020</v>
      </c>
      <c r="I75" t="s">
        <v>17</v>
      </c>
      <c r="J75" t="s">
        <v>16</v>
      </c>
      <c r="K75">
        <v>29.2</v>
      </c>
      <c r="L75">
        <v>2.5</v>
      </c>
      <c r="M75">
        <v>4</v>
      </c>
      <c r="N75">
        <v>2</v>
      </c>
      <c r="O75">
        <v>22.87</v>
      </c>
    </row>
    <row r="76" spans="1:15" x14ac:dyDescent="0.25">
      <c r="A76">
        <v>18</v>
      </c>
      <c r="B76">
        <v>56.9</v>
      </c>
      <c r="C76">
        <v>1.77</v>
      </c>
      <c r="D76">
        <v>183</v>
      </c>
      <c r="E76">
        <v>131</v>
      </c>
      <c r="F76">
        <v>57</v>
      </c>
      <c r="G76">
        <v>1.28</v>
      </c>
      <c r="H76">
        <v>1052</v>
      </c>
      <c r="I76" t="s">
        <v>17</v>
      </c>
      <c r="J76" t="s">
        <v>16</v>
      </c>
      <c r="K76">
        <v>20.7</v>
      </c>
      <c r="L76">
        <v>3.5</v>
      </c>
      <c r="M76">
        <v>4</v>
      </c>
      <c r="N76">
        <v>2</v>
      </c>
      <c r="O76">
        <v>18.57</v>
      </c>
    </row>
    <row r="77" spans="1:15" x14ac:dyDescent="0.25">
      <c r="A77">
        <v>41</v>
      </c>
      <c r="B77">
        <v>51.1</v>
      </c>
      <c r="C77">
        <v>1.94</v>
      </c>
      <c r="E77">
        <v>137</v>
      </c>
      <c r="F77">
        <v>72</v>
      </c>
      <c r="G77">
        <v>1.23</v>
      </c>
      <c r="H77">
        <v>1084</v>
      </c>
      <c r="J77" t="s">
        <v>16</v>
      </c>
      <c r="K77">
        <v>16.399999999999999</v>
      </c>
      <c r="L77">
        <v>2.2999999999999998</v>
      </c>
      <c r="M77">
        <v>3</v>
      </c>
      <c r="N77">
        <v>2</v>
      </c>
      <c r="O77">
        <v>16.41</v>
      </c>
    </row>
    <row r="78" spans="1:15" x14ac:dyDescent="0.25">
      <c r="A78">
        <v>24</v>
      </c>
      <c r="B78">
        <v>47.6</v>
      </c>
      <c r="C78">
        <v>1.51</v>
      </c>
      <c r="D78">
        <v>175</v>
      </c>
      <c r="E78">
        <v>120</v>
      </c>
      <c r="F78">
        <v>70</v>
      </c>
      <c r="G78">
        <v>0.78</v>
      </c>
      <c r="H78">
        <v>583</v>
      </c>
      <c r="I78" t="s">
        <v>15</v>
      </c>
      <c r="J78" t="s">
        <v>18</v>
      </c>
      <c r="K78">
        <v>22.6</v>
      </c>
      <c r="L78">
        <v>1.7</v>
      </c>
      <c r="M78">
        <v>5</v>
      </c>
      <c r="N78">
        <v>1</v>
      </c>
      <c r="O78">
        <v>13.71</v>
      </c>
    </row>
    <row r="79" spans="1:15" x14ac:dyDescent="0.25">
      <c r="A79">
        <v>26</v>
      </c>
      <c r="B79">
        <v>88.8</v>
      </c>
      <c r="C79">
        <v>1.7</v>
      </c>
      <c r="D79">
        <v>193</v>
      </c>
      <c r="E79">
        <v>169</v>
      </c>
      <c r="F79">
        <v>68</v>
      </c>
      <c r="G79">
        <v>1.91</v>
      </c>
      <c r="H79">
        <v>1145</v>
      </c>
      <c r="I79" t="s">
        <v>15</v>
      </c>
      <c r="J79" t="s">
        <v>16</v>
      </c>
      <c r="K79">
        <v>18.100000000000001</v>
      </c>
      <c r="L79">
        <v>3.7</v>
      </c>
      <c r="M79">
        <v>2</v>
      </c>
      <c r="N79">
        <v>2</v>
      </c>
      <c r="O79">
        <v>30.34</v>
      </c>
    </row>
    <row r="80" spans="1:15" x14ac:dyDescent="0.25">
      <c r="A80">
        <v>18</v>
      </c>
      <c r="B80">
        <v>67.5</v>
      </c>
      <c r="C80">
        <v>1.69</v>
      </c>
      <c r="D80">
        <v>177</v>
      </c>
      <c r="E80">
        <v>169</v>
      </c>
      <c r="F80">
        <v>72</v>
      </c>
      <c r="G80">
        <v>1.07</v>
      </c>
      <c r="H80">
        <v>975</v>
      </c>
      <c r="K80">
        <v>26.2</v>
      </c>
      <c r="L80">
        <v>1.6</v>
      </c>
      <c r="M80">
        <v>4</v>
      </c>
      <c r="N80">
        <v>3</v>
      </c>
      <c r="O80">
        <v>14.08</v>
      </c>
    </row>
    <row r="81" spans="1:15" x14ac:dyDescent="0.25">
      <c r="A81">
        <v>29</v>
      </c>
      <c r="B81">
        <v>96.7</v>
      </c>
      <c r="C81">
        <v>1.7</v>
      </c>
      <c r="D81">
        <v>175</v>
      </c>
      <c r="E81">
        <v>141</v>
      </c>
      <c r="F81">
        <v>54</v>
      </c>
      <c r="G81">
        <v>2</v>
      </c>
      <c r="H81">
        <v>880</v>
      </c>
      <c r="I81" t="s">
        <v>20</v>
      </c>
      <c r="J81" t="s">
        <v>18</v>
      </c>
      <c r="K81">
        <v>32.9</v>
      </c>
      <c r="L81">
        <v>2.2999999999999998</v>
      </c>
      <c r="M81">
        <v>2</v>
      </c>
      <c r="N81">
        <v>3</v>
      </c>
      <c r="O81">
        <v>13.16</v>
      </c>
    </row>
    <row r="82" spans="1:15" x14ac:dyDescent="0.25">
      <c r="A82">
        <v>26</v>
      </c>
      <c r="B82">
        <v>55.7</v>
      </c>
      <c r="C82">
        <v>1.99</v>
      </c>
      <c r="D82">
        <v>172</v>
      </c>
      <c r="E82">
        <v>142</v>
      </c>
      <c r="F82">
        <v>68</v>
      </c>
      <c r="G82">
        <v>2</v>
      </c>
      <c r="H82">
        <v>1583</v>
      </c>
      <c r="I82" t="s">
        <v>15</v>
      </c>
      <c r="K82">
        <v>18.899999999999999</v>
      </c>
      <c r="L82">
        <v>3.2</v>
      </c>
      <c r="M82">
        <v>4</v>
      </c>
      <c r="N82">
        <v>1</v>
      </c>
      <c r="O82">
        <v>12.32</v>
      </c>
    </row>
    <row r="83" spans="1:15" x14ac:dyDescent="0.25">
      <c r="A83">
        <v>43</v>
      </c>
      <c r="B83">
        <v>112</v>
      </c>
      <c r="C83">
        <v>1.71</v>
      </c>
      <c r="D83">
        <v>166</v>
      </c>
      <c r="E83">
        <v>146</v>
      </c>
      <c r="F83">
        <v>58</v>
      </c>
      <c r="G83">
        <v>1.62</v>
      </c>
      <c r="H83">
        <v>815</v>
      </c>
      <c r="I83" t="s">
        <v>19</v>
      </c>
      <c r="J83" t="s">
        <v>18</v>
      </c>
      <c r="K83">
        <v>31.2</v>
      </c>
      <c r="L83">
        <v>2.6</v>
      </c>
      <c r="M83">
        <v>3</v>
      </c>
      <c r="N83">
        <v>1</v>
      </c>
      <c r="O83">
        <v>21.1</v>
      </c>
    </row>
    <row r="84" spans="1:15" x14ac:dyDescent="0.25">
      <c r="A84">
        <v>48</v>
      </c>
      <c r="B84">
        <v>75.2</v>
      </c>
      <c r="C84">
        <v>1.72</v>
      </c>
      <c r="D84">
        <v>193</v>
      </c>
      <c r="E84">
        <v>169</v>
      </c>
      <c r="F84">
        <v>59</v>
      </c>
      <c r="G84">
        <v>1.54</v>
      </c>
      <c r="H84">
        <v>1726</v>
      </c>
      <c r="I84" t="s">
        <v>17</v>
      </c>
      <c r="J84" t="s">
        <v>18</v>
      </c>
      <c r="K84">
        <v>30.9</v>
      </c>
      <c r="L84">
        <v>1.9</v>
      </c>
      <c r="M84">
        <v>2</v>
      </c>
      <c r="O84">
        <v>18.64</v>
      </c>
    </row>
    <row r="85" spans="1:15" x14ac:dyDescent="0.25">
      <c r="A85">
        <v>29</v>
      </c>
      <c r="B85">
        <v>72</v>
      </c>
      <c r="C85">
        <v>1.66</v>
      </c>
      <c r="D85">
        <v>167</v>
      </c>
      <c r="E85">
        <v>144</v>
      </c>
      <c r="F85">
        <v>68</v>
      </c>
      <c r="G85">
        <v>0.87</v>
      </c>
      <c r="H85">
        <v>1248</v>
      </c>
      <c r="I85" t="s">
        <v>19</v>
      </c>
      <c r="J85" t="s">
        <v>16</v>
      </c>
      <c r="K85">
        <v>10</v>
      </c>
      <c r="L85">
        <v>3.6</v>
      </c>
      <c r="M85">
        <v>4</v>
      </c>
      <c r="N85">
        <v>3</v>
      </c>
      <c r="O85">
        <v>17.55</v>
      </c>
    </row>
    <row r="86" spans="1:15" x14ac:dyDescent="0.25">
      <c r="A86">
        <v>57</v>
      </c>
      <c r="B86">
        <v>63.6</v>
      </c>
      <c r="C86">
        <v>1.87</v>
      </c>
      <c r="D86">
        <v>170</v>
      </c>
      <c r="E86">
        <v>158</v>
      </c>
      <c r="G86">
        <v>1.56</v>
      </c>
      <c r="H86">
        <v>840</v>
      </c>
      <c r="I86" t="s">
        <v>15</v>
      </c>
      <c r="J86" t="s">
        <v>16</v>
      </c>
      <c r="K86">
        <v>23.7</v>
      </c>
      <c r="L86">
        <v>3.6</v>
      </c>
      <c r="M86">
        <v>4</v>
      </c>
      <c r="N86">
        <v>1</v>
      </c>
      <c r="O86">
        <v>12.32</v>
      </c>
    </row>
    <row r="87" spans="1:15" x14ac:dyDescent="0.25">
      <c r="A87">
        <v>22</v>
      </c>
      <c r="B87">
        <v>75.7</v>
      </c>
      <c r="C87">
        <v>1.56</v>
      </c>
      <c r="D87">
        <v>194</v>
      </c>
      <c r="E87">
        <v>142</v>
      </c>
      <c r="F87">
        <v>61</v>
      </c>
      <c r="G87">
        <v>1.23</v>
      </c>
      <c r="H87">
        <v>643</v>
      </c>
      <c r="I87" t="s">
        <v>15</v>
      </c>
      <c r="J87" t="s">
        <v>16</v>
      </c>
      <c r="K87">
        <v>28.8</v>
      </c>
      <c r="L87">
        <v>2.2999999999999998</v>
      </c>
      <c r="M87">
        <v>3</v>
      </c>
      <c r="N87">
        <v>3</v>
      </c>
      <c r="O87">
        <v>13.93</v>
      </c>
    </row>
    <row r="88" spans="1:15" x14ac:dyDescent="0.25">
      <c r="A88">
        <v>20</v>
      </c>
      <c r="B88">
        <v>59.1</v>
      </c>
      <c r="C88">
        <v>1.62</v>
      </c>
      <c r="D88">
        <v>191</v>
      </c>
      <c r="E88">
        <v>127</v>
      </c>
      <c r="F88">
        <v>54</v>
      </c>
      <c r="G88">
        <v>1.02</v>
      </c>
      <c r="H88">
        <v>995</v>
      </c>
      <c r="J88" t="s">
        <v>18</v>
      </c>
      <c r="K88">
        <v>26.2</v>
      </c>
      <c r="L88">
        <v>3.4</v>
      </c>
      <c r="M88">
        <v>3</v>
      </c>
      <c r="O88">
        <v>12.46</v>
      </c>
    </row>
    <row r="89" spans="1:15" x14ac:dyDescent="0.25">
      <c r="A89">
        <v>39</v>
      </c>
      <c r="B89">
        <v>41.3</v>
      </c>
      <c r="C89">
        <v>1.76</v>
      </c>
      <c r="D89">
        <v>175</v>
      </c>
      <c r="E89">
        <v>136</v>
      </c>
      <c r="F89">
        <v>69</v>
      </c>
      <c r="G89">
        <v>1.42</v>
      </c>
      <c r="H89">
        <v>1096</v>
      </c>
      <c r="I89" t="s">
        <v>20</v>
      </c>
      <c r="J89" t="s">
        <v>16</v>
      </c>
      <c r="K89">
        <v>24.3</v>
      </c>
      <c r="L89">
        <v>3.2</v>
      </c>
      <c r="M89">
        <v>3</v>
      </c>
      <c r="N89">
        <v>2</v>
      </c>
      <c r="O89">
        <v>15.36</v>
      </c>
    </row>
    <row r="90" spans="1:15" x14ac:dyDescent="0.25">
      <c r="A90">
        <v>41</v>
      </c>
      <c r="B90">
        <v>40</v>
      </c>
      <c r="C90">
        <v>1.77</v>
      </c>
      <c r="D90">
        <v>176</v>
      </c>
      <c r="E90">
        <v>148</v>
      </c>
      <c r="F90">
        <v>65</v>
      </c>
      <c r="G90">
        <v>1.03</v>
      </c>
      <c r="H90">
        <v>1238</v>
      </c>
      <c r="I90" t="s">
        <v>20</v>
      </c>
      <c r="J90" t="s">
        <v>18</v>
      </c>
      <c r="K90">
        <v>11.6</v>
      </c>
      <c r="L90">
        <v>1.9</v>
      </c>
      <c r="M90">
        <v>5</v>
      </c>
      <c r="N90">
        <v>1</v>
      </c>
      <c r="O90">
        <v>22.98</v>
      </c>
    </row>
    <row r="91" spans="1:15" x14ac:dyDescent="0.25">
      <c r="A91">
        <v>41</v>
      </c>
      <c r="B91">
        <v>63.7</v>
      </c>
      <c r="C91">
        <v>1.93</v>
      </c>
      <c r="D91">
        <v>195</v>
      </c>
      <c r="E91">
        <v>155</v>
      </c>
      <c r="F91">
        <v>61</v>
      </c>
      <c r="G91">
        <v>1.18</v>
      </c>
      <c r="H91">
        <v>1064</v>
      </c>
      <c r="I91" t="s">
        <v>19</v>
      </c>
      <c r="J91" t="s">
        <v>16</v>
      </c>
      <c r="K91">
        <v>21.2</v>
      </c>
      <c r="L91">
        <v>3.4</v>
      </c>
      <c r="M91">
        <v>4</v>
      </c>
      <c r="N91">
        <v>1</v>
      </c>
      <c r="O91">
        <v>15.76</v>
      </c>
    </row>
    <row r="92" spans="1:15" x14ac:dyDescent="0.25">
      <c r="A92">
        <v>31</v>
      </c>
      <c r="B92">
        <v>100</v>
      </c>
      <c r="C92">
        <v>1.75</v>
      </c>
      <c r="D92">
        <v>190</v>
      </c>
      <c r="E92">
        <v>169</v>
      </c>
      <c r="F92">
        <v>67</v>
      </c>
      <c r="G92">
        <v>1.46</v>
      </c>
      <c r="H92">
        <v>1573</v>
      </c>
      <c r="I92" t="s">
        <v>19</v>
      </c>
      <c r="J92" t="s">
        <v>16</v>
      </c>
      <c r="K92">
        <v>20.8</v>
      </c>
      <c r="L92">
        <v>3.4</v>
      </c>
      <c r="M92">
        <v>4</v>
      </c>
      <c r="N92">
        <v>2</v>
      </c>
    </row>
    <row r="93" spans="1:15" x14ac:dyDescent="0.25">
      <c r="A93">
        <v>20</v>
      </c>
      <c r="B93">
        <v>45</v>
      </c>
      <c r="C93">
        <v>1.68</v>
      </c>
      <c r="D93">
        <v>171</v>
      </c>
      <c r="E93">
        <v>154</v>
      </c>
      <c r="F93">
        <v>74</v>
      </c>
      <c r="G93">
        <v>1.5</v>
      </c>
      <c r="H93">
        <v>1692</v>
      </c>
      <c r="I93" t="s">
        <v>20</v>
      </c>
      <c r="J93" t="s">
        <v>18</v>
      </c>
      <c r="K93">
        <v>10</v>
      </c>
      <c r="L93">
        <v>2.4</v>
      </c>
      <c r="M93">
        <v>4</v>
      </c>
      <c r="N93">
        <v>1</v>
      </c>
      <c r="O93">
        <v>12.32</v>
      </c>
    </row>
    <row r="94" spans="1:15" x14ac:dyDescent="0.25">
      <c r="A94">
        <v>26</v>
      </c>
      <c r="B94">
        <v>47.1</v>
      </c>
      <c r="C94">
        <v>1.61</v>
      </c>
      <c r="D94">
        <v>189</v>
      </c>
      <c r="E94">
        <v>138</v>
      </c>
      <c r="F94">
        <v>52</v>
      </c>
      <c r="G94">
        <v>1.26</v>
      </c>
      <c r="H94">
        <v>1095</v>
      </c>
      <c r="I94" t="s">
        <v>20</v>
      </c>
      <c r="J94" t="s">
        <v>18</v>
      </c>
      <c r="K94">
        <v>19.3</v>
      </c>
      <c r="L94">
        <v>3.6</v>
      </c>
      <c r="M94">
        <v>3</v>
      </c>
      <c r="N94">
        <v>3</v>
      </c>
      <c r="O94">
        <v>29.91</v>
      </c>
    </row>
    <row r="95" spans="1:15" x14ac:dyDescent="0.25">
      <c r="A95">
        <v>37</v>
      </c>
      <c r="B95">
        <v>72.099999999999994</v>
      </c>
      <c r="C95">
        <v>1.83</v>
      </c>
      <c r="D95">
        <v>164</v>
      </c>
      <c r="E95">
        <v>152</v>
      </c>
      <c r="F95">
        <v>58</v>
      </c>
      <c r="G95">
        <v>1.58</v>
      </c>
      <c r="H95">
        <v>1091</v>
      </c>
      <c r="I95" t="s">
        <v>17</v>
      </c>
      <c r="J95" t="s">
        <v>16</v>
      </c>
      <c r="K95">
        <v>34.4</v>
      </c>
      <c r="L95">
        <v>3.3</v>
      </c>
      <c r="M95">
        <v>4</v>
      </c>
      <c r="N95">
        <v>2</v>
      </c>
      <c r="O95">
        <v>16.920000000000002</v>
      </c>
    </row>
    <row r="96" spans="1:15" x14ac:dyDescent="0.25">
      <c r="A96">
        <v>59</v>
      </c>
      <c r="B96">
        <v>57.5</v>
      </c>
      <c r="C96">
        <v>1.81</v>
      </c>
      <c r="D96">
        <v>175</v>
      </c>
      <c r="E96">
        <v>169</v>
      </c>
      <c r="F96">
        <v>58</v>
      </c>
      <c r="G96">
        <v>1.47</v>
      </c>
      <c r="H96">
        <v>1349</v>
      </c>
      <c r="I96" t="s">
        <v>17</v>
      </c>
      <c r="J96" t="s">
        <v>18</v>
      </c>
      <c r="K96">
        <v>24.7</v>
      </c>
      <c r="L96">
        <v>2.5</v>
      </c>
      <c r="M96">
        <v>5</v>
      </c>
      <c r="N96">
        <v>2</v>
      </c>
      <c r="O96">
        <v>12.32</v>
      </c>
    </row>
    <row r="97" spans="1:15" x14ac:dyDescent="0.25">
      <c r="A97">
        <v>22</v>
      </c>
      <c r="B97">
        <v>54.3</v>
      </c>
      <c r="C97">
        <v>1.85</v>
      </c>
      <c r="D97">
        <v>165</v>
      </c>
      <c r="E97">
        <v>144</v>
      </c>
      <c r="F97">
        <v>53</v>
      </c>
      <c r="G97">
        <v>2</v>
      </c>
      <c r="H97">
        <v>1740</v>
      </c>
      <c r="I97" t="s">
        <v>23</v>
      </c>
      <c r="J97" t="s">
        <v>18</v>
      </c>
      <c r="K97">
        <v>26.6</v>
      </c>
      <c r="L97">
        <v>3.7</v>
      </c>
      <c r="M97">
        <v>4</v>
      </c>
      <c r="N97">
        <v>2</v>
      </c>
      <c r="O97">
        <v>20.04</v>
      </c>
    </row>
    <row r="98" spans="1:15" x14ac:dyDescent="0.25">
      <c r="A98">
        <v>25</v>
      </c>
      <c r="B98">
        <v>63.9</v>
      </c>
      <c r="C98">
        <v>1.67</v>
      </c>
      <c r="D98">
        <v>178</v>
      </c>
      <c r="E98">
        <v>144</v>
      </c>
      <c r="F98">
        <v>61</v>
      </c>
      <c r="G98">
        <v>1.56</v>
      </c>
      <c r="H98">
        <v>868</v>
      </c>
      <c r="I98" t="s">
        <v>15</v>
      </c>
      <c r="J98" t="s">
        <v>18</v>
      </c>
      <c r="K98">
        <v>24.8</v>
      </c>
      <c r="L98">
        <v>2.4</v>
      </c>
      <c r="M98">
        <v>3</v>
      </c>
      <c r="N98">
        <v>2</v>
      </c>
      <c r="O98">
        <v>24.51</v>
      </c>
    </row>
    <row r="99" spans="1:15" x14ac:dyDescent="0.25">
      <c r="A99">
        <v>32</v>
      </c>
      <c r="B99">
        <v>56.6</v>
      </c>
      <c r="C99">
        <v>2</v>
      </c>
      <c r="D99">
        <v>190</v>
      </c>
      <c r="E99">
        <v>123</v>
      </c>
      <c r="F99">
        <v>65</v>
      </c>
      <c r="G99">
        <v>1.25</v>
      </c>
      <c r="H99">
        <v>1309</v>
      </c>
      <c r="I99" t="s">
        <v>19</v>
      </c>
      <c r="J99" t="s">
        <v>18</v>
      </c>
      <c r="K99">
        <v>14.7</v>
      </c>
      <c r="L99">
        <v>3.5</v>
      </c>
      <c r="M99">
        <v>4</v>
      </c>
      <c r="N99">
        <v>3</v>
      </c>
      <c r="O99">
        <v>17.829999999999998</v>
      </c>
    </row>
    <row r="100" spans="1:15" x14ac:dyDescent="0.25">
      <c r="A100">
        <v>37</v>
      </c>
      <c r="B100">
        <v>68.900000000000006</v>
      </c>
      <c r="C100">
        <v>1.65</v>
      </c>
      <c r="D100">
        <v>171</v>
      </c>
      <c r="E100">
        <v>132</v>
      </c>
      <c r="F100">
        <v>50</v>
      </c>
      <c r="G100">
        <v>1.19</v>
      </c>
      <c r="H100">
        <v>767</v>
      </c>
      <c r="I100" t="s">
        <v>15</v>
      </c>
      <c r="J100" t="s">
        <v>16</v>
      </c>
      <c r="K100">
        <v>23</v>
      </c>
      <c r="M100">
        <v>3</v>
      </c>
      <c r="N100">
        <v>3</v>
      </c>
      <c r="O100">
        <v>20.71</v>
      </c>
    </row>
    <row r="101" spans="1:15" x14ac:dyDescent="0.25">
      <c r="A101">
        <v>29</v>
      </c>
      <c r="B101">
        <v>95.3</v>
      </c>
      <c r="C101">
        <v>1.72</v>
      </c>
      <c r="D101">
        <v>190</v>
      </c>
      <c r="E101">
        <v>169</v>
      </c>
      <c r="F101">
        <v>74</v>
      </c>
      <c r="G101">
        <v>1.49</v>
      </c>
      <c r="H101">
        <v>733</v>
      </c>
      <c r="I101" t="s">
        <v>19</v>
      </c>
      <c r="J101" t="s">
        <v>16</v>
      </c>
      <c r="K101">
        <v>29.2</v>
      </c>
      <c r="L101">
        <v>3.7</v>
      </c>
      <c r="M101">
        <v>5</v>
      </c>
      <c r="N101">
        <v>3</v>
      </c>
      <c r="O101">
        <v>20.059999999999999</v>
      </c>
    </row>
    <row r="102" spans="1:15" x14ac:dyDescent="0.25">
      <c r="A102">
        <v>30</v>
      </c>
      <c r="B102">
        <v>96.3</v>
      </c>
      <c r="C102">
        <v>2</v>
      </c>
      <c r="D102">
        <v>173</v>
      </c>
      <c r="E102">
        <v>136</v>
      </c>
      <c r="F102">
        <v>74</v>
      </c>
      <c r="G102">
        <v>2</v>
      </c>
      <c r="H102">
        <v>1095</v>
      </c>
      <c r="I102" t="s">
        <v>19</v>
      </c>
      <c r="J102" t="s">
        <v>16</v>
      </c>
      <c r="K102">
        <v>20.399999999999999</v>
      </c>
      <c r="L102">
        <v>1.5</v>
      </c>
      <c r="M102">
        <v>5</v>
      </c>
      <c r="N102">
        <v>2</v>
      </c>
      <c r="O102">
        <v>25.83</v>
      </c>
    </row>
    <row r="103" spans="1:15" x14ac:dyDescent="0.25">
      <c r="A103">
        <v>28</v>
      </c>
      <c r="B103">
        <v>84.4</v>
      </c>
      <c r="C103">
        <v>1.74</v>
      </c>
      <c r="D103" t="s">
        <v>21</v>
      </c>
      <c r="E103">
        <v>142</v>
      </c>
      <c r="F103">
        <v>52</v>
      </c>
      <c r="G103">
        <v>1.45</v>
      </c>
      <c r="H103">
        <v>1392</v>
      </c>
      <c r="I103" t="s">
        <v>15</v>
      </c>
      <c r="J103" t="s">
        <v>18</v>
      </c>
      <c r="K103">
        <v>22</v>
      </c>
      <c r="L103">
        <v>2.6</v>
      </c>
      <c r="M103">
        <v>2</v>
      </c>
      <c r="N103">
        <v>1</v>
      </c>
      <c r="O103">
        <v>34.01</v>
      </c>
    </row>
    <row r="104" spans="1:15" x14ac:dyDescent="0.25">
      <c r="A104">
        <v>33</v>
      </c>
      <c r="B104">
        <v>60.5</v>
      </c>
      <c r="C104">
        <v>1.54</v>
      </c>
      <c r="D104">
        <v>195</v>
      </c>
      <c r="E104">
        <v>126</v>
      </c>
      <c r="F104">
        <v>56</v>
      </c>
      <c r="G104">
        <v>1.27</v>
      </c>
      <c r="H104">
        <v>1237</v>
      </c>
      <c r="I104" t="s">
        <v>17</v>
      </c>
      <c r="J104" t="s">
        <v>18</v>
      </c>
      <c r="K104">
        <v>29.1</v>
      </c>
      <c r="L104">
        <v>3.7</v>
      </c>
      <c r="M104">
        <v>4</v>
      </c>
      <c r="N104">
        <v>2</v>
      </c>
      <c r="O104">
        <v>21.23</v>
      </c>
    </row>
    <row r="105" spans="1:15" x14ac:dyDescent="0.25">
      <c r="A105">
        <v>48</v>
      </c>
      <c r="B105">
        <v>49.8</v>
      </c>
      <c r="C105">
        <v>1.69</v>
      </c>
      <c r="D105">
        <v>184</v>
      </c>
      <c r="E105">
        <v>143</v>
      </c>
      <c r="F105">
        <v>56</v>
      </c>
      <c r="G105">
        <v>1.37</v>
      </c>
      <c r="I105" t="s">
        <v>15</v>
      </c>
      <c r="J105" t="s">
        <v>16</v>
      </c>
      <c r="K105">
        <v>17.7</v>
      </c>
      <c r="L105">
        <v>2.7</v>
      </c>
      <c r="M105">
        <v>3</v>
      </c>
      <c r="N105">
        <v>3</v>
      </c>
      <c r="O105">
        <v>25.57</v>
      </c>
    </row>
    <row r="106" spans="1:15" x14ac:dyDescent="0.25">
      <c r="A106">
        <v>32</v>
      </c>
      <c r="B106">
        <v>47.2</v>
      </c>
      <c r="C106">
        <v>1.81</v>
      </c>
      <c r="D106">
        <v>187</v>
      </c>
      <c r="E106">
        <v>129</v>
      </c>
      <c r="G106">
        <v>1.19</v>
      </c>
      <c r="H106">
        <v>919</v>
      </c>
      <c r="I106" t="s">
        <v>19</v>
      </c>
      <c r="J106" t="s">
        <v>18</v>
      </c>
      <c r="K106">
        <v>30.5</v>
      </c>
      <c r="L106">
        <v>1.9</v>
      </c>
      <c r="M106">
        <v>4</v>
      </c>
      <c r="N106">
        <v>2</v>
      </c>
      <c r="O106">
        <v>31.5</v>
      </c>
    </row>
    <row r="107" spans="1:15" x14ac:dyDescent="0.25">
      <c r="A107">
        <v>54</v>
      </c>
      <c r="B107">
        <v>56.3</v>
      </c>
      <c r="C107">
        <v>1.59</v>
      </c>
      <c r="D107">
        <v>172</v>
      </c>
      <c r="E107">
        <v>169</v>
      </c>
      <c r="F107">
        <v>68</v>
      </c>
      <c r="G107">
        <v>1.47</v>
      </c>
      <c r="H107">
        <v>936</v>
      </c>
      <c r="I107" t="s">
        <v>17</v>
      </c>
      <c r="K107">
        <v>19.600000000000001</v>
      </c>
      <c r="L107">
        <v>3.1</v>
      </c>
      <c r="M107">
        <v>4</v>
      </c>
      <c r="N107">
        <v>2</v>
      </c>
      <c r="O107">
        <v>18.7</v>
      </c>
    </row>
    <row r="108" spans="1:15" x14ac:dyDescent="0.25">
      <c r="A108">
        <v>49</v>
      </c>
      <c r="B108">
        <v>45</v>
      </c>
      <c r="C108">
        <v>1.84</v>
      </c>
      <c r="D108">
        <v>190</v>
      </c>
      <c r="E108">
        <v>159</v>
      </c>
      <c r="F108">
        <v>53</v>
      </c>
      <c r="G108">
        <v>1.3</v>
      </c>
      <c r="H108">
        <v>864</v>
      </c>
      <c r="I108" t="s">
        <v>19</v>
      </c>
      <c r="J108" t="s">
        <v>18</v>
      </c>
      <c r="K108">
        <v>26.5</v>
      </c>
      <c r="L108">
        <v>1.5</v>
      </c>
      <c r="M108">
        <v>4</v>
      </c>
      <c r="N108">
        <v>2</v>
      </c>
      <c r="O108">
        <v>17.11</v>
      </c>
    </row>
    <row r="109" spans="1:15" x14ac:dyDescent="0.25">
      <c r="A109">
        <v>53</v>
      </c>
      <c r="B109">
        <v>87.7</v>
      </c>
      <c r="C109">
        <v>1.84</v>
      </c>
      <c r="D109">
        <v>164</v>
      </c>
      <c r="E109">
        <v>152</v>
      </c>
      <c r="F109">
        <v>53</v>
      </c>
      <c r="G109">
        <v>1.37</v>
      </c>
      <c r="H109">
        <v>1066</v>
      </c>
      <c r="I109" t="s">
        <v>17</v>
      </c>
      <c r="J109" t="s">
        <v>18</v>
      </c>
      <c r="K109">
        <v>24.7</v>
      </c>
      <c r="L109">
        <v>2.6</v>
      </c>
      <c r="M109">
        <v>5</v>
      </c>
      <c r="N109">
        <v>2</v>
      </c>
      <c r="O109">
        <v>25.16</v>
      </c>
    </row>
    <row r="110" spans="1:15" x14ac:dyDescent="0.25">
      <c r="A110">
        <v>54</v>
      </c>
      <c r="B110">
        <v>46.1</v>
      </c>
      <c r="C110">
        <v>1.85</v>
      </c>
      <c r="D110">
        <v>187</v>
      </c>
      <c r="E110">
        <v>162</v>
      </c>
      <c r="F110">
        <v>63</v>
      </c>
      <c r="G110">
        <v>1.35</v>
      </c>
      <c r="H110">
        <v>772</v>
      </c>
      <c r="I110" t="s">
        <v>15</v>
      </c>
      <c r="J110" t="s">
        <v>16</v>
      </c>
      <c r="K110">
        <v>25.7</v>
      </c>
      <c r="L110">
        <v>3.6</v>
      </c>
      <c r="M110">
        <v>4</v>
      </c>
      <c r="N110">
        <v>1</v>
      </c>
      <c r="O110">
        <v>20.62</v>
      </c>
    </row>
    <row r="111" spans="1:15" x14ac:dyDescent="0.25">
      <c r="A111">
        <v>18</v>
      </c>
      <c r="B111">
        <v>69.8</v>
      </c>
      <c r="C111">
        <v>1.82</v>
      </c>
      <c r="D111">
        <v>178</v>
      </c>
      <c r="E111">
        <v>168</v>
      </c>
      <c r="F111">
        <v>58</v>
      </c>
      <c r="G111">
        <v>1.9</v>
      </c>
      <c r="H111">
        <v>963</v>
      </c>
      <c r="I111" t="s">
        <v>19</v>
      </c>
      <c r="J111" t="s">
        <v>16</v>
      </c>
      <c r="K111">
        <v>31.4</v>
      </c>
      <c r="L111">
        <v>3.7</v>
      </c>
      <c r="M111">
        <v>5</v>
      </c>
      <c r="N111">
        <v>2</v>
      </c>
      <c r="O111">
        <v>34.21</v>
      </c>
    </row>
    <row r="112" spans="1:15" x14ac:dyDescent="0.25">
      <c r="A112">
        <v>18</v>
      </c>
      <c r="B112">
        <v>79.2</v>
      </c>
      <c r="C112">
        <v>1.77</v>
      </c>
      <c r="D112">
        <v>198</v>
      </c>
      <c r="E112">
        <v>137</v>
      </c>
      <c r="F112">
        <v>66</v>
      </c>
      <c r="G112">
        <v>1.2</v>
      </c>
      <c r="H112">
        <v>1429</v>
      </c>
      <c r="I112" t="s">
        <v>20</v>
      </c>
      <c r="J112" t="s">
        <v>18</v>
      </c>
      <c r="K112">
        <v>12.9</v>
      </c>
      <c r="L112">
        <v>3.7</v>
      </c>
      <c r="M112">
        <v>3</v>
      </c>
      <c r="N112">
        <v>2</v>
      </c>
      <c r="O112">
        <v>19.07</v>
      </c>
    </row>
    <row r="113" spans="1:15" x14ac:dyDescent="0.25">
      <c r="A113">
        <v>29</v>
      </c>
      <c r="B113">
        <v>60.6</v>
      </c>
      <c r="C113">
        <v>1.76</v>
      </c>
      <c r="D113">
        <v>188</v>
      </c>
      <c r="E113">
        <v>148</v>
      </c>
      <c r="F113">
        <v>50</v>
      </c>
      <c r="G113">
        <v>1.38</v>
      </c>
      <c r="H113">
        <v>676</v>
      </c>
      <c r="I113" t="s">
        <v>15</v>
      </c>
      <c r="J113" t="s">
        <v>18</v>
      </c>
      <c r="K113">
        <v>30.2</v>
      </c>
      <c r="L113">
        <v>2.5</v>
      </c>
      <c r="M113">
        <v>3</v>
      </c>
      <c r="O113">
        <v>23.73</v>
      </c>
    </row>
    <row r="114" spans="1:15" x14ac:dyDescent="0.25">
      <c r="A114">
        <v>22</v>
      </c>
      <c r="B114">
        <v>53.3</v>
      </c>
      <c r="C114">
        <v>1.73</v>
      </c>
      <c r="D114">
        <v>172</v>
      </c>
      <c r="E114">
        <v>144</v>
      </c>
      <c r="F114">
        <v>71</v>
      </c>
      <c r="G114">
        <v>1.1000000000000001</v>
      </c>
      <c r="H114">
        <v>1235</v>
      </c>
      <c r="I114" t="s">
        <v>15</v>
      </c>
      <c r="J114" t="s">
        <v>16</v>
      </c>
      <c r="K114">
        <v>22.8</v>
      </c>
      <c r="L114">
        <v>2.6</v>
      </c>
      <c r="M114">
        <v>3</v>
      </c>
      <c r="N114">
        <v>1</v>
      </c>
      <c r="O114">
        <v>13.13</v>
      </c>
    </row>
    <row r="115" spans="1:15" x14ac:dyDescent="0.25">
      <c r="A115">
        <v>20</v>
      </c>
      <c r="B115">
        <v>95.7</v>
      </c>
      <c r="C115">
        <v>1.85</v>
      </c>
      <c r="D115">
        <v>196</v>
      </c>
      <c r="E115">
        <v>136</v>
      </c>
      <c r="F115">
        <v>58</v>
      </c>
      <c r="G115">
        <v>1.44</v>
      </c>
      <c r="H115">
        <v>987</v>
      </c>
      <c r="I115" t="s">
        <v>19</v>
      </c>
      <c r="J115" t="s">
        <v>18</v>
      </c>
      <c r="K115">
        <v>23.8</v>
      </c>
      <c r="L115">
        <v>1.5</v>
      </c>
      <c r="M115">
        <v>3</v>
      </c>
      <c r="N115">
        <v>2</v>
      </c>
      <c r="O115">
        <v>15.47</v>
      </c>
    </row>
    <row r="116" spans="1:15" x14ac:dyDescent="0.25">
      <c r="A116">
        <v>29</v>
      </c>
      <c r="B116">
        <v>57.4</v>
      </c>
      <c r="C116">
        <v>1.74</v>
      </c>
      <c r="D116">
        <v>198</v>
      </c>
      <c r="E116">
        <v>165</v>
      </c>
      <c r="F116">
        <v>67</v>
      </c>
      <c r="G116">
        <v>1.58</v>
      </c>
      <c r="H116">
        <v>880</v>
      </c>
      <c r="I116" t="s">
        <v>15</v>
      </c>
      <c r="J116" t="s">
        <v>16</v>
      </c>
      <c r="K116">
        <v>20.9</v>
      </c>
      <c r="L116">
        <v>3.3</v>
      </c>
      <c r="M116">
        <v>4</v>
      </c>
      <c r="N116">
        <v>1</v>
      </c>
    </row>
    <row r="117" spans="1:15" x14ac:dyDescent="0.25">
      <c r="A117">
        <v>47</v>
      </c>
      <c r="B117">
        <v>87.3</v>
      </c>
      <c r="C117">
        <v>1.9</v>
      </c>
      <c r="D117">
        <v>194</v>
      </c>
      <c r="E117">
        <v>164</v>
      </c>
      <c r="F117">
        <v>74</v>
      </c>
      <c r="G117">
        <v>1.87</v>
      </c>
      <c r="H117">
        <v>1073</v>
      </c>
      <c r="I117" t="s">
        <v>19</v>
      </c>
      <c r="J117" t="s">
        <v>18</v>
      </c>
      <c r="K117">
        <v>23.7</v>
      </c>
      <c r="L117">
        <v>3.5</v>
      </c>
      <c r="M117">
        <v>5</v>
      </c>
      <c r="N117">
        <v>2</v>
      </c>
      <c r="O117">
        <v>20.100000000000001</v>
      </c>
    </row>
    <row r="118" spans="1:15" x14ac:dyDescent="0.25">
      <c r="A118">
        <v>20</v>
      </c>
      <c r="C118">
        <v>1.75</v>
      </c>
      <c r="D118">
        <v>193</v>
      </c>
      <c r="E118">
        <v>136</v>
      </c>
      <c r="F118">
        <v>51</v>
      </c>
      <c r="G118">
        <v>0.57999999999999996</v>
      </c>
      <c r="H118">
        <v>1218</v>
      </c>
      <c r="I118" t="s">
        <v>20</v>
      </c>
      <c r="J118" t="s">
        <v>16</v>
      </c>
      <c r="K118">
        <v>28.4</v>
      </c>
      <c r="L118">
        <v>3</v>
      </c>
      <c r="M118">
        <v>4</v>
      </c>
      <c r="N118">
        <v>1</v>
      </c>
      <c r="O118">
        <v>19.66</v>
      </c>
    </row>
    <row r="119" spans="1:15" x14ac:dyDescent="0.25">
      <c r="A119">
        <v>18</v>
      </c>
      <c r="B119">
        <v>79.2</v>
      </c>
      <c r="C119">
        <v>1.66</v>
      </c>
      <c r="D119">
        <v>176</v>
      </c>
      <c r="E119">
        <v>154</v>
      </c>
      <c r="F119">
        <v>72</v>
      </c>
      <c r="G119">
        <v>1.58</v>
      </c>
      <c r="H119">
        <v>1493</v>
      </c>
      <c r="I119" t="s">
        <v>15</v>
      </c>
      <c r="J119" t="s">
        <v>18</v>
      </c>
      <c r="K119">
        <v>18.100000000000001</v>
      </c>
      <c r="L119">
        <v>2.2999999999999998</v>
      </c>
      <c r="M119">
        <v>3</v>
      </c>
      <c r="N119">
        <v>1</v>
      </c>
      <c r="O119">
        <v>14.27</v>
      </c>
    </row>
    <row r="120" spans="1:15" x14ac:dyDescent="0.25">
      <c r="A120">
        <v>18</v>
      </c>
      <c r="B120">
        <v>73.8</v>
      </c>
      <c r="C120">
        <v>1.75</v>
      </c>
      <c r="D120">
        <v>187</v>
      </c>
      <c r="E120">
        <v>149</v>
      </c>
      <c r="F120">
        <v>74</v>
      </c>
      <c r="G120">
        <v>1.64</v>
      </c>
      <c r="H120">
        <v>1065</v>
      </c>
      <c r="I120" t="s">
        <v>19</v>
      </c>
      <c r="J120" t="s">
        <v>18</v>
      </c>
      <c r="K120">
        <v>17.7</v>
      </c>
      <c r="L120">
        <v>2.4</v>
      </c>
      <c r="M120">
        <v>3</v>
      </c>
      <c r="N120">
        <v>1</v>
      </c>
      <c r="O120">
        <v>17.79</v>
      </c>
    </row>
    <row r="121" spans="1:15" x14ac:dyDescent="0.25">
      <c r="A121">
        <v>33</v>
      </c>
      <c r="B121">
        <v>66.3</v>
      </c>
      <c r="C121">
        <v>1.76</v>
      </c>
      <c r="D121">
        <v>164</v>
      </c>
      <c r="E121">
        <v>120</v>
      </c>
      <c r="F121">
        <v>74</v>
      </c>
      <c r="G121">
        <v>1.44</v>
      </c>
      <c r="H121">
        <v>419</v>
      </c>
      <c r="J121" t="s">
        <v>16</v>
      </c>
      <c r="K121">
        <v>25.4</v>
      </c>
      <c r="L121">
        <v>2.6</v>
      </c>
      <c r="M121">
        <v>3</v>
      </c>
      <c r="N121">
        <v>3</v>
      </c>
      <c r="O121">
        <v>20.67</v>
      </c>
    </row>
  </sheetData>
  <mergeCells count="5">
    <mergeCell ref="Q1:S1"/>
    <mergeCell ref="Q14:S14"/>
    <mergeCell ref="Q55:S55"/>
    <mergeCell ref="Q40:S40"/>
    <mergeCell ref="Q25:S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2026-06-06T05:33:11Z</dcterms:created>
  <dcterms:modified xsi:type="dcterms:W3CDTF">2026-06-08T05:23:00Z</dcterms:modified>
</cp:coreProperties>
</file>