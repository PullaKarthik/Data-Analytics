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DA Training\Day24\"/>
    </mc:Choice>
  </mc:AlternateContent>
  <xr:revisionPtr revIDLastSave="0" documentId="13_ncr:1_{5AD05F5D-7019-4716-84ED-01C9407F45EB}" xr6:coauthVersionLast="47" xr6:coauthVersionMax="47" xr10:uidLastSave="{00000000-0000-0000-0000-000000000000}"/>
  <bookViews>
    <workbookView xWindow="-120" yWindow="-120" windowWidth="29040" windowHeight="15720" xr2:uid="{9BE4452B-BE92-4540-86EF-425B1DAB71D0}"/>
  </bookViews>
  <sheets>
    <sheet name="Probability" sheetId="1" r:id="rId1"/>
    <sheet name="D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0" i="2" l="1"/>
  <c r="O23" i="2"/>
  <c r="O17" i="2"/>
  <c r="O14" i="2"/>
  <c r="K3" i="2"/>
  <c r="K5" i="2" s="1"/>
  <c r="H29" i="2"/>
  <c r="H26" i="2"/>
  <c r="H23" i="2"/>
  <c r="H17" i="2"/>
  <c r="H20" i="2"/>
  <c r="H14" i="2"/>
  <c r="F2" i="2" a="1"/>
  <c r="F2" i="2" s="1"/>
  <c r="D27" i="2" l="1"/>
  <c r="D24" i="2"/>
  <c r="D22" i="2"/>
  <c r="D29" i="2"/>
  <c r="D19" i="2"/>
  <c r="D14" i="2"/>
  <c r="D12" i="2"/>
  <c r="D9" i="2"/>
  <c r="D17" i="2"/>
  <c r="D7" i="2"/>
  <c r="D32" i="2"/>
  <c r="D4" i="2"/>
  <c r="D2" i="2"/>
  <c r="A2" i="2" a="1"/>
  <c r="A2" i="2" s="1"/>
  <c r="D12" i="1"/>
  <c r="D8" i="1"/>
  <c r="D5" i="1"/>
  <c r="D2" i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<sst xmlns="http://schemas.openxmlformats.org/spreadsheetml/2006/main" count="159" uniqueCount="44">
  <si>
    <t>Trail No</t>
  </si>
  <si>
    <t>Result</t>
  </si>
  <si>
    <t>Head</t>
  </si>
  <si>
    <t>Tail</t>
  </si>
  <si>
    <t>Probability of Head</t>
  </si>
  <si>
    <t>Probability of Tail</t>
  </si>
  <si>
    <t>Count of Tail</t>
  </si>
  <si>
    <t>Count of Head</t>
  </si>
  <si>
    <t>Trail</t>
  </si>
  <si>
    <t>Roll</t>
  </si>
  <si>
    <t>Count of Getting 6</t>
  </si>
  <si>
    <t>Probability of Getting 6</t>
  </si>
  <si>
    <t>Count of Getting 2</t>
  </si>
  <si>
    <t>Count of Getting 4</t>
  </si>
  <si>
    <t>Probability of Getting 2 &amp; 4</t>
  </si>
  <si>
    <t>Probability of Getting 2</t>
  </si>
  <si>
    <t>Count of Getting 3</t>
  </si>
  <si>
    <t>Probability of Getting 3</t>
  </si>
  <si>
    <t>Probability of Getting 4</t>
  </si>
  <si>
    <t>Count of Getting 5</t>
  </si>
  <si>
    <t>Probability of Getting 5</t>
  </si>
  <si>
    <t>Count of Getting 1</t>
  </si>
  <si>
    <t>Probability of Getting 1</t>
  </si>
  <si>
    <t>Gender</t>
  </si>
  <si>
    <t>F</t>
  </si>
  <si>
    <t>M</t>
  </si>
  <si>
    <t>PlayerID</t>
  </si>
  <si>
    <t>Plays Cricket</t>
  </si>
  <si>
    <t>No</t>
  </si>
  <si>
    <t>Yes</t>
  </si>
  <si>
    <t>Count of Boys</t>
  </si>
  <si>
    <t>Count of Boys who plays Cricket</t>
  </si>
  <si>
    <t>Probability of Boys who plays Cricket</t>
  </si>
  <si>
    <t>Probability of Boys who does not plays Cricket</t>
  </si>
  <si>
    <t>Probability of Girls who plays Cricket</t>
  </si>
  <si>
    <t>Probability of Girls Who does not plays Cricket</t>
  </si>
  <si>
    <t>ID</t>
  </si>
  <si>
    <t>Score</t>
  </si>
  <si>
    <t>Count Rolls &lt;=3</t>
  </si>
  <si>
    <t>Count of Students marks &lt;=70</t>
  </si>
  <si>
    <t>Probability of Student Marks &lt;=70</t>
  </si>
  <si>
    <t>Count of Student Marks &gt;70</t>
  </si>
  <si>
    <t>Probability of Student Marks &gt;70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</si>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</sst>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1" applyNumberFormat="0" applyAlignment="0" applyProtection="0"/>
    <xf numFmtId="0" fontId="7" fillId="6" borderId="1" applyNumberFormat="0" applyAlignment="0" applyProtection="0"/>
    <xf numFmtId="0" fontId="1" fillId="7" borderId="2" applyNumberFormat="0" applyFont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7" fillId="6" borderId="1" xfId="6" applyAlignment="1">
      <alignment horizontal="center"/>
    </xf>
    <xf numFmtId="0" fontId="7" fillId="6" borderId="1" xfId="6"/>
    <xf numFmtId="16" fontId="7" fillId="6" borderId="1" xfId="6" applyNumberFormat="1" applyAlignment="1">
      <alignment horizontal="center"/>
    </xf>
    <xf numFmtId="0" fontId="3" fillId="2" borderId="1" xfId="2" applyBorder="1" applyAlignment="1">
      <alignment horizontal="center"/>
    </xf>
    <xf numFmtId="0" fontId="5" fillId="4" borderId="1" xfId="4" applyBorder="1" applyAlignment="1">
      <alignment horizontal="center"/>
    </xf>
    <xf numFmtId="0" fontId="6" fillId="5" borderId="1" xfId="5" applyAlignment="1">
      <alignment horizontal="center"/>
    </xf>
    <xf numFmtId="0" fontId="4" fillId="3" borderId="1" xfId="3" applyBorder="1" applyAlignment="1">
      <alignment horizontal="center"/>
    </xf>
    <xf numFmtId="0" fontId="0" fillId="7" borderId="2" xfId="7" applyFont="1" applyAlignment="1">
      <alignment horizontal="center"/>
    </xf>
    <xf numFmtId="0" fontId="0" fillId="0" borderId="0" xfId="0" applyAlignment="1">
      <alignment textRotation="45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7" fillId="6" borderId="3" xfId="6" applyBorder="1" applyAlignment="1">
      <alignment horizontal="center"/>
    </xf>
    <xf numFmtId="0" fontId="7" fillId="6" borderId="4" xfId="6" applyBorder="1" applyAlignment="1">
      <alignment horizontal="center"/>
    </xf>
    <xf numFmtId="0" fontId="7" fillId="6" borderId="5" xfId="6" applyBorder="1" applyAlignment="1">
      <alignment horizontal="center"/>
    </xf>
    <xf numFmtId="0" fontId="2" fillId="0" borderId="6" xfId="1" applyBorder="1" applyAlignment="1">
      <alignment horizontal="center"/>
    </xf>
    <xf numFmtId="0" fontId="2" fillId="0" borderId="6" xfId="1" applyBorder="1"/>
    <xf numFmtId="0" fontId="2" fillId="0" borderId="6" xfId="1" applyBorder="1" applyAlignment="1">
      <alignment horizontal="center"/>
    </xf>
  </cellXfs>
  <cellStyles count="8">
    <cellStyle name="Bad" xfId="3" builtinId="27"/>
    <cellStyle name="Calculation" xfId="6" builtinId="22"/>
    <cellStyle name="Good" xfId="2" builtinId="26"/>
    <cellStyle name="Heading 4" xfId="1" builtinId="19"/>
    <cellStyle name="Input" xfId="5" builtinId="20"/>
    <cellStyle name="Neutral" xfId="4" builtinId="28"/>
    <cellStyle name="Normal" xfId="0" builtinId="0"/>
    <cellStyle name="Note" xfId="7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7C024-7612-4473-9C5B-36EFF8B741AF}">
  <dimension ref="A1:G101"/>
  <sheetViews>
    <sheetView tabSelected="1" workbookViewId="0">
      <selection activeCell="G1" sqref="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D1" s="11" t="s">
        <v>7</v>
      </c>
      <c r="E1" s="11"/>
      <c r="G1" s="10" t="s">
        <v>43</v>
      </c>
    </row>
    <row r="2" spans="1:7" x14ac:dyDescent="0.25">
      <c r="A2" cm="1">
        <f t="array" ref="A2:A101">_xlfn.SEQUENCE(100)</f>
        <v>1</v>
      </c>
      <c r="B2" t="s">
        <v>2</v>
      </c>
      <c r="D2" s="11">
        <f>COUNTIF(B2:B101,"Head")</f>
        <v>47</v>
      </c>
      <c r="E2" s="11"/>
    </row>
    <row r="3" spans="1:7" x14ac:dyDescent="0.25">
      <c r="A3">
        <v>2</v>
      </c>
      <c r="B3" t="s">
        <v>2</v>
      </c>
    </row>
    <row r="4" spans="1:7" x14ac:dyDescent="0.25">
      <c r="A4">
        <v>3</v>
      </c>
      <c r="B4" t="s">
        <v>3</v>
      </c>
      <c r="D4" s="11" t="s">
        <v>6</v>
      </c>
      <c r="E4" s="11"/>
    </row>
    <row r="5" spans="1:7" x14ac:dyDescent="0.25">
      <c r="A5">
        <v>4</v>
      </c>
      <c r="B5" t="s">
        <v>2</v>
      </c>
      <c r="D5" s="11">
        <f>COUNTIF(B2:B101,"Tail")</f>
        <v>53</v>
      </c>
      <c r="E5" s="11"/>
    </row>
    <row r="6" spans="1:7" x14ac:dyDescent="0.25">
      <c r="A6">
        <v>5</v>
      </c>
      <c r="B6" t="s">
        <v>3</v>
      </c>
    </row>
    <row r="7" spans="1:7" x14ac:dyDescent="0.25">
      <c r="A7">
        <v>6</v>
      </c>
      <c r="B7" t="s">
        <v>2</v>
      </c>
      <c r="D7" s="11" t="s">
        <v>4</v>
      </c>
      <c r="E7" s="11"/>
    </row>
    <row r="8" spans="1:7" x14ac:dyDescent="0.25">
      <c r="A8">
        <v>7</v>
      </c>
      <c r="B8" t="s">
        <v>2</v>
      </c>
      <c r="D8" s="11">
        <f>D2/100</f>
        <v>0.47</v>
      </c>
      <c r="E8" s="11"/>
    </row>
    <row r="9" spans="1:7" x14ac:dyDescent="0.25">
      <c r="A9">
        <v>8</v>
      </c>
      <c r="B9" t="s">
        <v>2</v>
      </c>
      <c r="D9" s="12">
        <v>0.47</v>
      </c>
      <c r="E9" s="12"/>
    </row>
    <row r="10" spans="1:7" x14ac:dyDescent="0.25">
      <c r="A10">
        <v>9</v>
      </c>
      <c r="B10" t="s">
        <v>3</v>
      </c>
    </row>
    <row r="11" spans="1:7" x14ac:dyDescent="0.25">
      <c r="A11">
        <v>10</v>
      </c>
      <c r="B11" t="s">
        <v>2</v>
      </c>
      <c r="D11" s="11" t="s">
        <v>5</v>
      </c>
      <c r="E11" s="11"/>
    </row>
    <row r="12" spans="1:7" x14ac:dyDescent="0.25">
      <c r="A12">
        <v>11</v>
      </c>
      <c r="B12" t="s">
        <v>3</v>
      </c>
      <c r="D12" s="11">
        <f>D5/100</f>
        <v>0.53</v>
      </c>
      <c r="E12" s="11"/>
    </row>
    <row r="13" spans="1:7" x14ac:dyDescent="0.25">
      <c r="A13">
        <v>12</v>
      </c>
      <c r="B13" t="s">
        <v>3</v>
      </c>
      <c r="D13" s="12">
        <v>0.53</v>
      </c>
      <c r="E13" s="11"/>
    </row>
    <row r="14" spans="1:7" x14ac:dyDescent="0.25">
      <c r="A14">
        <v>13</v>
      </c>
      <c r="B14" t="s">
        <v>3</v>
      </c>
    </row>
    <row r="15" spans="1:7" x14ac:dyDescent="0.25">
      <c r="A15">
        <v>14</v>
      </c>
      <c r="B15" t="s">
        <v>2</v>
      </c>
    </row>
    <row r="16" spans="1:7" x14ac:dyDescent="0.25">
      <c r="A16">
        <v>15</v>
      </c>
      <c r="B16" t="s">
        <v>3</v>
      </c>
    </row>
    <row r="17" spans="1:2" x14ac:dyDescent="0.25">
      <c r="A17">
        <v>16</v>
      </c>
      <c r="B17" t="s">
        <v>2</v>
      </c>
    </row>
    <row r="18" spans="1:2" x14ac:dyDescent="0.25">
      <c r="A18">
        <v>17</v>
      </c>
      <c r="B18" t="s">
        <v>3</v>
      </c>
    </row>
    <row r="19" spans="1:2" x14ac:dyDescent="0.25">
      <c r="A19">
        <v>18</v>
      </c>
      <c r="B19" t="s">
        <v>3</v>
      </c>
    </row>
    <row r="20" spans="1:2" x14ac:dyDescent="0.25">
      <c r="A20">
        <v>19</v>
      </c>
      <c r="B20" t="s">
        <v>3</v>
      </c>
    </row>
    <row r="21" spans="1:2" x14ac:dyDescent="0.25">
      <c r="A21">
        <v>20</v>
      </c>
      <c r="B21" t="s">
        <v>3</v>
      </c>
    </row>
    <row r="22" spans="1:2" x14ac:dyDescent="0.25">
      <c r="A22">
        <v>21</v>
      </c>
      <c r="B22" t="s">
        <v>3</v>
      </c>
    </row>
    <row r="23" spans="1:2" x14ac:dyDescent="0.25">
      <c r="A23">
        <v>22</v>
      </c>
      <c r="B23" t="s">
        <v>3</v>
      </c>
    </row>
    <row r="24" spans="1:2" x14ac:dyDescent="0.25">
      <c r="A24">
        <v>23</v>
      </c>
      <c r="B24" t="s">
        <v>3</v>
      </c>
    </row>
    <row r="25" spans="1:2" x14ac:dyDescent="0.25">
      <c r="A25">
        <v>24</v>
      </c>
      <c r="B25" t="s">
        <v>3</v>
      </c>
    </row>
    <row r="26" spans="1:2" x14ac:dyDescent="0.25">
      <c r="A26">
        <v>25</v>
      </c>
      <c r="B26" t="s">
        <v>3</v>
      </c>
    </row>
    <row r="27" spans="1:2" x14ac:dyDescent="0.25">
      <c r="A27">
        <v>26</v>
      </c>
      <c r="B27" t="s">
        <v>3</v>
      </c>
    </row>
    <row r="28" spans="1:2" x14ac:dyDescent="0.25">
      <c r="A28">
        <v>27</v>
      </c>
      <c r="B28" t="s">
        <v>2</v>
      </c>
    </row>
    <row r="29" spans="1:2" x14ac:dyDescent="0.25">
      <c r="A29">
        <v>28</v>
      </c>
      <c r="B29" t="s">
        <v>3</v>
      </c>
    </row>
    <row r="30" spans="1:2" x14ac:dyDescent="0.25">
      <c r="A30">
        <v>29</v>
      </c>
      <c r="B30" t="s">
        <v>3</v>
      </c>
    </row>
    <row r="31" spans="1:2" x14ac:dyDescent="0.25">
      <c r="A31">
        <v>30</v>
      </c>
      <c r="B31" t="s">
        <v>2</v>
      </c>
    </row>
    <row r="32" spans="1:2" x14ac:dyDescent="0.25">
      <c r="A32">
        <v>31</v>
      </c>
      <c r="B32" t="s">
        <v>2</v>
      </c>
    </row>
    <row r="33" spans="1:2" x14ac:dyDescent="0.25">
      <c r="A33">
        <v>32</v>
      </c>
      <c r="B33" t="s">
        <v>2</v>
      </c>
    </row>
    <row r="34" spans="1:2" x14ac:dyDescent="0.25">
      <c r="A34">
        <v>33</v>
      </c>
      <c r="B34" t="s">
        <v>3</v>
      </c>
    </row>
    <row r="35" spans="1:2" x14ac:dyDescent="0.25">
      <c r="A35">
        <v>34</v>
      </c>
      <c r="B35" t="s">
        <v>2</v>
      </c>
    </row>
    <row r="36" spans="1:2" x14ac:dyDescent="0.25">
      <c r="A36">
        <v>35</v>
      </c>
      <c r="B36" t="s">
        <v>2</v>
      </c>
    </row>
    <row r="37" spans="1:2" x14ac:dyDescent="0.25">
      <c r="A37">
        <v>36</v>
      </c>
      <c r="B37" t="s">
        <v>3</v>
      </c>
    </row>
    <row r="38" spans="1:2" x14ac:dyDescent="0.25">
      <c r="A38">
        <v>37</v>
      </c>
      <c r="B38" t="s">
        <v>2</v>
      </c>
    </row>
    <row r="39" spans="1:2" x14ac:dyDescent="0.25">
      <c r="A39">
        <v>38</v>
      </c>
      <c r="B39" t="s">
        <v>2</v>
      </c>
    </row>
    <row r="40" spans="1:2" x14ac:dyDescent="0.25">
      <c r="A40">
        <v>39</v>
      </c>
      <c r="B40" t="s">
        <v>2</v>
      </c>
    </row>
    <row r="41" spans="1:2" x14ac:dyDescent="0.25">
      <c r="A41">
        <v>40</v>
      </c>
      <c r="B41" t="s">
        <v>2</v>
      </c>
    </row>
    <row r="42" spans="1:2" x14ac:dyDescent="0.25">
      <c r="A42">
        <v>41</v>
      </c>
      <c r="B42" t="s">
        <v>3</v>
      </c>
    </row>
    <row r="43" spans="1:2" x14ac:dyDescent="0.25">
      <c r="A43">
        <v>42</v>
      </c>
      <c r="B43" t="s">
        <v>2</v>
      </c>
    </row>
    <row r="44" spans="1:2" x14ac:dyDescent="0.25">
      <c r="A44">
        <v>43</v>
      </c>
      <c r="B44" t="s">
        <v>3</v>
      </c>
    </row>
    <row r="45" spans="1:2" x14ac:dyDescent="0.25">
      <c r="A45">
        <v>44</v>
      </c>
      <c r="B45" t="s">
        <v>3</v>
      </c>
    </row>
    <row r="46" spans="1:2" x14ac:dyDescent="0.25">
      <c r="A46">
        <v>45</v>
      </c>
      <c r="B46" t="s">
        <v>2</v>
      </c>
    </row>
    <row r="47" spans="1:2" x14ac:dyDescent="0.25">
      <c r="A47">
        <v>46</v>
      </c>
      <c r="B47" t="s">
        <v>2</v>
      </c>
    </row>
    <row r="48" spans="1:2" x14ac:dyDescent="0.25">
      <c r="A48">
        <v>47</v>
      </c>
      <c r="B48" t="s">
        <v>2</v>
      </c>
    </row>
    <row r="49" spans="1:2" x14ac:dyDescent="0.25">
      <c r="A49">
        <v>48</v>
      </c>
      <c r="B49" t="s">
        <v>2</v>
      </c>
    </row>
    <row r="50" spans="1:2" x14ac:dyDescent="0.25">
      <c r="A50">
        <v>49</v>
      </c>
      <c r="B50" t="s">
        <v>2</v>
      </c>
    </row>
    <row r="51" spans="1:2" x14ac:dyDescent="0.25">
      <c r="A51">
        <v>50</v>
      </c>
      <c r="B51" t="s">
        <v>2</v>
      </c>
    </row>
    <row r="52" spans="1:2" x14ac:dyDescent="0.25">
      <c r="A52">
        <v>51</v>
      </c>
      <c r="B52" t="s">
        <v>2</v>
      </c>
    </row>
    <row r="53" spans="1:2" x14ac:dyDescent="0.25">
      <c r="A53">
        <v>52</v>
      </c>
      <c r="B53" t="s">
        <v>3</v>
      </c>
    </row>
    <row r="54" spans="1:2" x14ac:dyDescent="0.25">
      <c r="A54">
        <v>53</v>
      </c>
      <c r="B54" t="s">
        <v>3</v>
      </c>
    </row>
    <row r="55" spans="1:2" x14ac:dyDescent="0.25">
      <c r="A55">
        <v>54</v>
      </c>
      <c r="B55" t="s">
        <v>2</v>
      </c>
    </row>
    <row r="56" spans="1:2" x14ac:dyDescent="0.25">
      <c r="A56">
        <v>55</v>
      </c>
      <c r="B56" t="s">
        <v>3</v>
      </c>
    </row>
    <row r="57" spans="1:2" x14ac:dyDescent="0.25">
      <c r="A57">
        <v>56</v>
      </c>
      <c r="B57" t="s">
        <v>2</v>
      </c>
    </row>
    <row r="58" spans="1:2" x14ac:dyDescent="0.25">
      <c r="A58">
        <v>57</v>
      </c>
      <c r="B58" t="s">
        <v>2</v>
      </c>
    </row>
    <row r="59" spans="1:2" x14ac:dyDescent="0.25">
      <c r="A59">
        <v>58</v>
      </c>
      <c r="B59" t="s">
        <v>3</v>
      </c>
    </row>
    <row r="60" spans="1:2" x14ac:dyDescent="0.25">
      <c r="A60">
        <v>59</v>
      </c>
      <c r="B60" t="s">
        <v>2</v>
      </c>
    </row>
    <row r="61" spans="1:2" x14ac:dyDescent="0.25">
      <c r="A61">
        <v>60</v>
      </c>
      <c r="B61" t="s">
        <v>3</v>
      </c>
    </row>
    <row r="62" spans="1:2" x14ac:dyDescent="0.25">
      <c r="A62">
        <v>61</v>
      </c>
      <c r="B62" t="s">
        <v>3</v>
      </c>
    </row>
    <row r="63" spans="1:2" x14ac:dyDescent="0.25">
      <c r="A63">
        <v>62</v>
      </c>
      <c r="B63" t="s">
        <v>2</v>
      </c>
    </row>
    <row r="64" spans="1:2" x14ac:dyDescent="0.25">
      <c r="A64">
        <v>63</v>
      </c>
      <c r="B64" t="s">
        <v>3</v>
      </c>
    </row>
    <row r="65" spans="1:2" x14ac:dyDescent="0.25">
      <c r="A65">
        <v>64</v>
      </c>
      <c r="B65" t="s">
        <v>2</v>
      </c>
    </row>
    <row r="66" spans="1:2" x14ac:dyDescent="0.25">
      <c r="A66">
        <v>65</v>
      </c>
      <c r="B66" t="s">
        <v>3</v>
      </c>
    </row>
    <row r="67" spans="1:2" x14ac:dyDescent="0.25">
      <c r="A67">
        <v>66</v>
      </c>
      <c r="B67" t="s">
        <v>3</v>
      </c>
    </row>
    <row r="68" spans="1:2" x14ac:dyDescent="0.25">
      <c r="A68">
        <v>67</v>
      </c>
      <c r="B68" t="s">
        <v>3</v>
      </c>
    </row>
    <row r="69" spans="1:2" x14ac:dyDescent="0.25">
      <c r="A69">
        <v>68</v>
      </c>
      <c r="B69" t="s">
        <v>2</v>
      </c>
    </row>
    <row r="70" spans="1:2" x14ac:dyDescent="0.25">
      <c r="A70">
        <v>69</v>
      </c>
      <c r="B70" t="s">
        <v>2</v>
      </c>
    </row>
    <row r="71" spans="1:2" x14ac:dyDescent="0.25">
      <c r="A71">
        <v>70</v>
      </c>
      <c r="B71" t="s">
        <v>3</v>
      </c>
    </row>
    <row r="72" spans="1:2" x14ac:dyDescent="0.25">
      <c r="A72">
        <v>71</v>
      </c>
      <c r="B72" t="s">
        <v>3</v>
      </c>
    </row>
    <row r="73" spans="1:2" x14ac:dyDescent="0.25">
      <c r="A73">
        <v>72</v>
      </c>
      <c r="B73" t="s">
        <v>2</v>
      </c>
    </row>
    <row r="74" spans="1:2" x14ac:dyDescent="0.25">
      <c r="A74">
        <v>73</v>
      </c>
      <c r="B74" t="s">
        <v>3</v>
      </c>
    </row>
    <row r="75" spans="1:2" x14ac:dyDescent="0.25">
      <c r="A75">
        <v>74</v>
      </c>
      <c r="B75" t="s">
        <v>3</v>
      </c>
    </row>
    <row r="76" spans="1:2" x14ac:dyDescent="0.25">
      <c r="A76">
        <v>75</v>
      </c>
      <c r="B76" t="s">
        <v>3</v>
      </c>
    </row>
    <row r="77" spans="1:2" x14ac:dyDescent="0.25">
      <c r="A77">
        <v>76</v>
      </c>
      <c r="B77" t="s">
        <v>3</v>
      </c>
    </row>
    <row r="78" spans="1:2" x14ac:dyDescent="0.25">
      <c r="A78">
        <v>77</v>
      </c>
      <c r="B78" t="s">
        <v>2</v>
      </c>
    </row>
    <row r="79" spans="1:2" x14ac:dyDescent="0.25">
      <c r="A79">
        <v>78</v>
      </c>
      <c r="B79" t="s">
        <v>3</v>
      </c>
    </row>
    <row r="80" spans="1:2" x14ac:dyDescent="0.25">
      <c r="A80">
        <v>79</v>
      </c>
      <c r="B80" t="s">
        <v>3</v>
      </c>
    </row>
    <row r="81" spans="1:2" x14ac:dyDescent="0.25">
      <c r="A81">
        <v>80</v>
      </c>
      <c r="B81" t="s">
        <v>3</v>
      </c>
    </row>
    <row r="82" spans="1:2" x14ac:dyDescent="0.25">
      <c r="A82">
        <v>81</v>
      </c>
      <c r="B82" t="s">
        <v>3</v>
      </c>
    </row>
    <row r="83" spans="1:2" x14ac:dyDescent="0.25">
      <c r="A83">
        <v>82</v>
      </c>
      <c r="B83" t="s">
        <v>3</v>
      </c>
    </row>
    <row r="84" spans="1:2" x14ac:dyDescent="0.25">
      <c r="A84">
        <v>83</v>
      </c>
      <c r="B84" t="s">
        <v>2</v>
      </c>
    </row>
    <row r="85" spans="1:2" x14ac:dyDescent="0.25">
      <c r="A85">
        <v>84</v>
      </c>
      <c r="B85" t="s">
        <v>3</v>
      </c>
    </row>
    <row r="86" spans="1:2" x14ac:dyDescent="0.25">
      <c r="A86">
        <v>85</v>
      </c>
      <c r="B86" t="s">
        <v>2</v>
      </c>
    </row>
    <row r="87" spans="1:2" x14ac:dyDescent="0.25">
      <c r="A87">
        <v>86</v>
      </c>
      <c r="B87" t="s">
        <v>2</v>
      </c>
    </row>
    <row r="88" spans="1:2" x14ac:dyDescent="0.25">
      <c r="A88">
        <v>87</v>
      </c>
      <c r="B88" t="s">
        <v>2</v>
      </c>
    </row>
    <row r="89" spans="1:2" x14ac:dyDescent="0.25">
      <c r="A89">
        <v>88</v>
      </c>
      <c r="B89" t="s">
        <v>2</v>
      </c>
    </row>
    <row r="90" spans="1:2" x14ac:dyDescent="0.25">
      <c r="A90">
        <v>89</v>
      </c>
      <c r="B90" t="s">
        <v>3</v>
      </c>
    </row>
    <row r="91" spans="1:2" x14ac:dyDescent="0.25">
      <c r="A91">
        <v>90</v>
      </c>
      <c r="B91" t="s">
        <v>2</v>
      </c>
    </row>
    <row r="92" spans="1:2" x14ac:dyDescent="0.25">
      <c r="A92">
        <v>91</v>
      </c>
      <c r="B92" t="s">
        <v>2</v>
      </c>
    </row>
    <row r="93" spans="1:2" x14ac:dyDescent="0.25">
      <c r="A93">
        <v>92</v>
      </c>
      <c r="B93" t="s">
        <v>3</v>
      </c>
    </row>
    <row r="94" spans="1:2" x14ac:dyDescent="0.25">
      <c r="A94">
        <v>93</v>
      </c>
      <c r="B94" t="s">
        <v>3</v>
      </c>
    </row>
    <row r="95" spans="1:2" x14ac:dyDescent="0.25">
      <c r="A95">
        <v>94</v>
      </c>
      <c r="B95" t="s">
        <v>3</v>
      </c>
    </row>
    <row r="96" spans="1:2" x14ac:dyDescent="0.25">
      <c r="A96">
        <v>95</v>
      </c>
      <c r="B96" t="s">
        <v>2</v>
      </c>
    </row>
    <row r="97" spans="1:2" x14ac:dyDescent="0.25">
      <c r="A97">
        <v>96</v>
      </c>
      <c r="B97" t="s">
        <v>3</v>
      </c>
    </row>
    <row r="98" spans="1:2" x14ac:dyDescent="0.25">
      <c r="A98">
        <v>97</v>
      </c>
      <c r="B98" t="s">
        <v>3</v>
      </c>
    </row>
    <row r="99" spans="1:2" x14ac:dyDescent="0.25">
      <c r="A99">
        <v>98</v>
      </c>
      <c r="B99" t="s">
        <v>3</v>
      </c>
    </row>
    <row r="100" spans="1:2" x14ac:dyDescent="0.25">
      <c r="A100">
        <v>99</v>
      </c>
      <c r="B100" t="s">
        <v>2</v>
      </c>
    </row>
    <row r="101" spans="1:2" x14ac:dyDescent="0.25">
      <c r="A101">
        <v>100</v>
      </c>
      <c r="B101" t="s">
        <v>2</v>
      </c>
    </row>
  </sheetData>
  <mergeCells count="10">
    <mergeCell ref="D1:E1"/>
    <mergeCell ref="D2:E2"/>
    <mergeCell ref="D5:E5"/>
    <mergeCell ref="D4:E4"/>
    <mergeCell ref="D13:E13"/>
    <mergeCell ref="D8:E8"/>
    <mergeCell ref="D7:E7"/>
    <mergeCell ref="D12:E12"/>
    <mergeCell ref="D11:E11"/>
    <mergeCell ref="D9:E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47D9-2FD3-49CC-AD8F-92E277AD1146}">
  <dimension ref="A1:R101"/>
  <sheetViews>
    <sheetView workbookViewId="0">
      <selection activeCell="M26" sqref="M26"/>
    </sheetView>
  </sheetViews>
  <sheetFormatPr defaultRowHeight="15" x14ac:dyDescent="0.25"/>
  <cols>
    <col min="1" max="2" width="9.140625" style="1"/>
    <col min="4" max="4" width="25.140625" bestFit="1" customWidth="1"/>
    <col min="8" max="8" width="12.140625" bestFit="1" customWidth="1"/>
    <col min="9" max="9" width="9.28515625" customWidth="1"/>
    <col min="10" max="10" width="9.140625" customWidth="1"/>
    <col min="13" max="14" width="9.140625" customWidth="1"/>
    <col min="16" max="16" width="11.85546875" customWidth="1"/>
  </cols>
  <sheetData>
    <row r="1" spans="1:18" x14ac:dyDescent="0.25">
      <c r="A1" s="1" t="s">
        <v>8</v>
      </c>
      <c r="B1" s="1" t="s">
        <v>9</v>
      </c>
      <c r="D1" s="5" t="s">
        <v>10</v>
      </c>
      <c r="F1" s="9" t="s">
        <v>26</v>
      </c>
      <c r="G1" s="9" t="s">
        <v>23</v>
      </c>
      <c r="H1" s="9" t="s">
        <v>27</v>
      </c>
      <c r="I1" s="9" t="s">
        <v>9</v>
      </c>
      <c r="N1" s="1" t="s">
        <v>36</v>
      </c>
      <c r="O1" s="1" t="s">
        <v>37</v>
      </c>
      <c r="R1" s="1"/>
    </row>
    <row r="2" spans="1:18" x14ac:dyDescent="0.25">
      <c r="A2" s="1" cm="1">
        <f t="array" ref="A2:A101">_xlfn.SEQUENCE(100)</f>
        <v>1</v>
      </c>
      <c r="B2" s="1">
        <v>6</v>
      </c>
      <c r="D2" s="5">
        <f>COUNTIF(B:B,6)</f>
        <v>12</v>
      </c>
      <c r="F2" s="9" cm="1">
        <f t="array" ref="F2:F11">_xlfn.SEQUENCE(10)</f>
        <v>1</v>
      </c>
      <c r="G2" s="9" t="s">
        <v>24</v>
      </c>
      <c r="H2" s="9" t="s">
        <v>28</v>
      </c>
      <c r="I2" s="9">
        <v>5</v>
      </c>
      <c r="K2" t="s">
        <v>38</v>
      </c>
      <c r="N2" s="1">
        <v>1</v>
      </c>
      <c r="O2" s="1">
        <v>85</v>
      </c>
      <c r="R2" s="1"/>
    </row>
    <row r="3" spans="1:18" x14ac:dyDescent="0.25">
      <c r="A3" s="1">
        <v>2</v>
      </c>
      <c r="B3" s="1">
        <v>1</v>
      </c>
      <c r="D3" s="5" t="s">
        <v>11</v>
      </c>
      <c r="F3" s="9">
        <v>2</v>
      </c>
      <c r="G3" s="9" t="s">
        <v>25</v>
      </c>
      <c r="H3" s="9" t="s">
        <v>29</v>
      </c>
      <c r="I3" s="9">
        <v>3</v>
      </c>
      <c r="K3">
        <f>COUNTIF(I2:I11,"&lt;=3")</f>
        <v>3</v>
      </c>
      <c r="N3" s="1">
        <v>2</v>
      </c>
      <c r="O3" s="1">
        <v>40</v>
      </c>
      <c r="R3" s="1"/>
    </row>
    <row r="4" spans="1:18" x14ac:dyDescent="0.25">
      <c r="A4" s="1">
        <v>3</v>
      </c>
      <c r="B4" s="1">
        <v>4</v>
      </c>
      <c r="D4" s="5">
        <f>12/100</f>
        <v>0.12</v>
      </c>
      <c r="F4" s="9">
        <v>3</v>
      </c>
      <c r="G4" s="9" t="s">
        <v>25</v>
      </c>
      <c r="H4" s="9" t="s">
        <v>29</v>
      </c>
      <c r="I4" s="9">
        <v>4</v>
      </c>
      <c r="N4" s="1">
        <v>3</v>
      </c>
      <c r="O4" s="1">
        <v>60</v>
      </c>
      <c r="R4" s="1"/>
    </row>
    <row r="5" spans="1:18" x14ac:dyDescent="0.25">
      <c r="A5" s="1">
        <v>4</v>
      </c>
      <c r="B5" s="1">
        <v>1</v>
      </c>
      <c r="D5" s="2"/>
      <c r="F5" s="9">
        <v>4</v>
      </c>
      <c r="G5" s="9" t="s">
        <v>24</v>
      </c>
      <c r="H5" s="9" t="s">
        <v>28</v>
      </c>
      <c r="I5" s="9">
        <v>1</v>
      </c>
      <c r="K5">
        <f>K3/10</f>
        <v>0.3</v>
      </c>
      <c r="N5" s="1">
        <v>4</v>
      </c>
      <c r="O5" s="1">
        <v>30</v>
      </c>
      <c r="R5" s="1"/>
    </row>
    <row r="6" spans="1:18" x14ac:dyDescent="0.25">
      <c r="A6" s="1">
        <v>5</v>
      </c>
      <c r="B6" s="1">
        <v>3</v>
      </c>
      <c r="D6" s="6" t="s">
        <v>12</v>
      </c>
      <c r="F6" s="9">
        <v>5</v>
      </c>
      <c r="G6" s="9" t="s">
        <v>25</v>
      </c>
      <c r="H6" s="9" t="s">
        <v>28</v>
      </c>
      <c r="I6" s="9">
        <v>4</v>
      </c>
      <c r="N6" s="1">
        <v>5</v>
      </c>
      <c r="O6" s="1">
        <v>75</v>
      </c>
      <c r="R6" s="1"/>
    </row>
    <row r="7" spans="1:18" x14ac:dyDescent="0.25">
      <c r="A7" s="1">
        <v>6</v>
      </c>
      <c r="B7" s="1">
        <v>3</v>
      </c>
      <c r="D7" s="6">
        <f>COUNTIF(B:B,2)</f>
        <v>15</v>
      </c>
      <c r="F7" s="9">
        <v>6</v>
      </c>
      <c r="G7" s="9" t="s">
        <v>24</v>
      </c>
      <c r="H7" s="9" t="s">
        <v>28</v>
      </c>
      <c r="I7" s="9">
        <v>5</v>
      </c>
      <c r="N7" s="1">
        <v>6</v>
      </c>
      <c r="O7" s="1">
        <v>55</v>
      </c>
      <c r="R7" s="1"/>
    </row>
    <row r="8" spans="1:18" x14ac:dyDescent="0.25">
      <c r="A8" s="1">
        <v>7</v>
      </c>
      <c r="B8" s="1">
        <v>1</v>
      </c>
      <c r="D8" s="6" t="s">
        <v>15</v>
      </c>
      <c r="F8" s="9">
        <v>7</v>
      </c>
      <c r="G8" s="9" t="s">
        <v>25</v>
      </c>
      <c r="H8" s="9" t="s">
        <v>29</v>
      </c>
      <c r="I8" s="9">
        <v>5</v>
      </c>
      <c r="N8" s="1">
        <v>7</v>
      </c>
      <c r="O8" s="1">
        <v>95</v>
      </c>
      <c r="R8" s="1"/>
    </row>
    <row r="9" spans="1:18" x14ac:dyDescent="0.25">
      <c r="A9" s="1">
        <v>8</v>
      </c>
      <c r="B9" s="1">
        <v>2</v>
      </c>
      <c r="D9" s="6">
        <f>15/100</f>
        <v>0.15</v>
      </c>
      <c r="F9" s="9">
        <v>8</v>
      </c>
      <c r="G9" s="9" t="s">
        <v>24</v>
      </c>
      <c r="H9" s="9" t="s">
        <v>28</v>
      </c>
      <c r="I9" s="9">
        <v>6</v>
      </c>
      <c r="N9" s="1">
        <v>8</v>
      </c>
      <c r="O9" s="1">
        <v>45</v>
      </c>
      <c r="R9" s="1"/>
    </row>
    <row r="10" spans="1:18" x14ac:dyDescent="0.25">
      <c r="A10" s="1">
        <v>9</v>
      </c>
      <c r="B10" s="1">
        <v>2</v>
      </c>
      <c r="D10" s="2"/>
      <c r="F10" s="9">
        <v>9</v>
      </c>
      <c r="G10" s="9" t="s">
        <v>25</v>
      </c>
      <c r="H10" s="9" t="s">
        <v>29</v>
      </c>
      <c r="I10" s="9">
        <v>5</v>
      </c>
      <c r="N10" s="1">
        <v>9</v>
      </c>
      <c r="O10" s="1">
        <v>68</v>
      </c>
      <c r="R10" s="1"/>
    </row>
    <row r="11" spans="1:18" x14ac:dyDescent="0.25">
      <c r="A11" s="1">
        <v>10</v>
      </c>
      <c r="B11" s="1">
        <v>2</v>
      </c>
      <c r="D11" s="5" t="s">
        <v>16</v>
      </c>
      <c r="F11" s="9">
        <v>10</v>
      </c>
      <c r="G11" s="9" t="s">
        <v>24</v>
      </c>
      <c r="H11" s="9" t="s">
        <v>28</v>
      </c>
      <c r="I11" s="9">
        <v>3</v>
      </c>
      <c r="N11" s="1">
        <v>10</v>
      </c>
      <c r="O11" s="1">
        <v>25</v>
      </c>
      <c r="R11" s="1"/>
    </row>
    <row r="12" spans="1:18" x14ac:dyDescent="0.25">
      <c r="A12" s="1">
        <v>11</v>
      </c>
      <c r="B12" s="1">
        <v>3</v>
      </c>
      <c r="D12" s="5">
        <f>COUNTIF(B:B,3)</f>
        <v>22</v>
      </c>
    </row>
    <row r="13" spans="1:18" x14ac:dyDescent="0.25">
      <c r="A13" s="1">
        <v>12</v>
      </c>
      <c r="B13" s="1">
        <v>2</v>
      </c>
      <c r="D13" s="5" t="s">
        <v>17</v>
      </c>
      <c r="F13" s="13" t="s">
        <v>30</v>
      </c>
      <c r="G13" s="14"/>
      <c r="H13" s="14"/>
      <c r="I13" s="14"/>
      <c r="J13" s="15"/>
      <c r="N13" s="16" t="s">
        <v>39</v>
      </c>
      <c r="O13" s="16"/>
      <c r="P13" s="16"/>
    </row>
    <row r="14" spans="1:18" x14ac:dyDescent="0.25">
      <c r="A14" s="1">
        <v>13</v>
      </c>
      <c r="B14" s="1">
        <v>4</v>
      </c>
      <c r="D14" s="5">
        <f>22/100</f>
        <v>0.22</v>
      </c>
      <c r="F14" s="3"/>
      <c r="G14" s="3"/>
      <c r="H14" s="2">
        <f>COUNTIF(G2:G11,"M")</f>
        <v>5</v>
      </c>
      <c r="I14" s="2"/>
      <c r="J14" s="2"/>
      <c r="N14" s="17"/>
      <c r="O14" s="18">
        <f>COUNTIF(O2:O11,"&lt;=70")</f>
        <v>7</v>
      </c>
      <c r="P14" s="18"/>
    </row>
    <row r="15" spans="1:18" x14ac:dyDescent="0.25">
      <c r="A15" s="1">
        <v>14</v>
      </c>
      <c r="B15" s="1">
        <v>2</v>
      </c>
      <c r="D15" s="2"/>
      <c r="F15" s="3"/>
      <c r="G15" s="3"/>
      <c r="H15" s="2"/>
      <c r="I15" s="2"/>
      <c r="J15" s="2"/>
      <c r="N15" s="17"/>
      <c r="O15" s="18"/>
      <c r="P15" s="18"/>
    </row>
    <row r="16" spans="1:18" x14ac:dyDescent="0.25">
      <c r="A16" s="1">
        <v>15</v>
      </c>
      <c r="B16" s="1">
        <v>2</v>
      </c>
      <c r="D16" s="7" t="s">
        <v>13</v>
      </c>
      <c r="F16" s="13" t="s">
        <v>32</v>
      </c>
      <c r="G16" s="14"/>
      <c r="H16" s="14"/>
      <c r="I16" s="14"/>
      <c r="J16" s="15"/>
      <c r="N16" s="16" t="s">
        <v>40</v>
      </c>
      <c r="O16" s="16"/>
      <c r="P16" s="16"/>
    </row>
    <row r="17" spans="1:16" x14ac:dyDescent="0.25">
      <c r="A17" s="1">
        <v>16</v>
      </c>
      <c r="B17" s="1">
        <v>3</v>
      </c>
      <c r="D17" s="7">
        <f>COUNTIF(B:B,4)</f>
        <v>21</v>
      </c>
      <c r="F17" s="3"/>
      <c r="G17" s="3"/>
      <c r="H17" s="2">
        <f>COUNTIFS(G2:G11,"M",H2:H11,"Yes")/COUNTIF(G2:G11,"M")</f>
        <v>0.8</v>
      </c>
      <c r="I17" s="2"/>
      <c r="J17" s="2"/>
      <c r="N17" s="17"/>
      <c r="O17" s="18">
        <f>COUNTIF(O2:O11,"&lt;=70")/10</f>
        <v>0.7</v>
      </c>
      <c r="P17" s="18"/>
    </row>
    <row r="18" spans="1:16" x14ac:dyDescent="0.25">
      <c r="A18" s="1">
        <v>17</v>
      </c>
      <c r="B18" s="1">
        <v>5</v>
      </c>
      <c r="D18" s="7" t="s">
        <v>18</v>
      </c>
      <c r="F18" s="3"/>
      <c r="G18" s="3"/>
      <c r="H18" s="2"/>
      <c r="I18" s="2"/>
      <c r="J18" s="2"/>
      <c r="N18" s="17"/>
      <c r="O18" s="18"/>
      <c r="P18" s="18"/>
    </row>
    <row r="19" spans="1:16" x14ac:dyDescent="0.25">
      <c r="A19" s="1">
        <v>18</v>
      </c>
      <c r="B19" s="1">
        <v>4</v>
      </c>
      <c r="D19" s="7">
        <f>21/100</f>
        <v>0.21</v>
      </c>
      <c r="F19" s="13" t="s">
        <v>31</v>
      </c>
      <c r="G19" s="14"/>
      <c r="H19" s="14"/>
      <c r="I19" s="14"/>
      <c r="J19" s="15"/>
      <c r="N19" s="16" t="s">
        <v>41</v>
      </c>
      <c r="O19" s="16"/>
      <c r="P19" s="16"/>
    </row>
    <row r="20" spans="1:16" x14ac:dyDescent="0.25">
      <c r="A20" s="1">
        <v>19</v>
      </c>
      <c r="B20" s="1">
        <v>3</v>
      </c>
      <c r="D20" s="2"/>
      <c r="F20" s="3"/>
      <c r="G20" s="3"/>
      <c r="H20" s="2">
        <f>COUNTIFS(G2:G11,"M",H2:H11,"Yes")</f>
        <v>4</v>
      </c>
      <c r="I20" s="2"/>
      <c r="J20" s="2"/>
      <c r="N20" s="17"/>
      <c r="O20" s="18">
        <f>COUNTIF(O2:O11,"&gt;70")</f>
        <v>3</v>
      </c>
      <c r="P20" s="18"/>
    </row>
    <row r="21" spans="1:16" x14ac:dyDescent="0.25">
      <c r="A21" s="1">
        <v>20</v>
      </c>
      <c r="B21" s="1">
        <v>4</v>
      </c>
      <c r="D21" s="5" t="s">
        <v>19</v>
      </c>
      <c r="F21" s="3"/>
      <c r="G21" s="3"/>
      <c r="H21" s="2"/>
      <c r="I21" s="2"/>
      <c r="J21" s="2"/>
      <c r="N21" s="17"/>
      <c r="O21" s="18"/>
      <c r="P21" s="18"/>
    </row>
    <row r="22" spans="1:16" x14ac:dyDescent="0.25">
      <c r="A22" s="1">
        <v>21</v>
      </c>
      <c r="B22" s="1">
        <v>5</v>
      </c>
      <c r="D22" s="5">
        <f>COUNTIF(B:B,5)</f>
        <v>9</v>
      </c>
      <c r="F22" s="13" t="s">
        <v>35</v>
      </c>
      <c r="G22" s="14"/>
      <c r="H22" s="14"/>
      <c r="I22" s="14"/>
      <c r="J22" s="15"/>
      <c r="N22" s="16" t="s">
        <v>42</v>
      </c>
      <c r="O22" s="16"/>
      <c r="P22" s="16"/>
    </row>
    <row r="23" spans="1:16" x14ac:dyDescent="0.25">
      <c r="A23" s="1">
        <v>22</v>
      </c>
      <c r="B23" s="1">
        <v>1</v>
      </c>
      <c r="D23" s="5" t="s">
        <v>20</v>
      </c>
      <c r="F23" s="3"/>
      <c r="G23" s="3"/>
      <c r="H23" s="2">
        <f>COUNTIFS(G2:G11,"F",H2:H11,"No")/COUNTIF(G2:G11,"F")</f>
        <v>1</v>
      </c>
      <c r="I23" s="2"/>
      <c r="J23" s="2"/>
      <c r="N23" s="17"/>
      <c r="O23" s="18">
        <f>3/10</f>
        <v>0.3</v>
      </c>
      <c r="P23" s="18"/>
    </row>
    <row r="24" spans="1:16" x14ac:dyDescent="0.25">
      <c r="A24" s="1">
        <v>23</v>
      </c>
      <c r="B24" s="1">
        <v>5</v>
      </c>
      <c r="D24" s="5">
        <f>9/100</f>
        <v>0.09</v>
      </c>
      <c r="F24" s="3"/>
      <c r="G24" s="3"/>
      <c r="H24" s="4"/>
      <c r="I24" s="2"/>
      <c r="J24" s="2"/>
    </row>
    <row r="25" spans="1:16" x14ac:dyDescent="0.25">
      <c r="A25" s="1">
        <v>24</v>
      </c>
      <c r="B25" s="1">
        <v>1</v>
      </c>
      <c r="D25" s="2"/>
      <c r="F25" s="13" t="s">
        <v>33</v>
      </c>
      <c r="G25" s="14"/>
      <c r="H25" s="14"/>
      <c r="I25" s="14"/>
      <c r="J25" s="15"/>
    </row>
    <row r="26" spans="1:16" x14ac:dyDescent="0.25">
      <c r="A26" s="1">
        <v>25</v>
      </c>
      <c r="B26" s="1">
        <v>6</v>
      </c>
      <c r="D26" s="8" t="s">
        <v>21</v>
      </c>
      <c r="F26" s="3"/>
      <c r="G26" s="3"/>
      <c r="H26" s="2">
        <f>COUNTIFS(G2:G11,"M",H2:H11,"No")/COUNTIF(G2:G11,"M")</f>
        <v>0.2</v>
      </c>
      <c r="I26" s="2"/>
      <c r="J26" s="2"/>
    </row>
    <row r="27" spans="1:16" x14ac:dyDescent="0.25">
      <c r="A27" s="1">
        <v>26</v>
      </c>
      <c r="B27" s="1">
        <v>3</v>
      </c>
      <c r="D27" s="8">
        <f>COUNTIF(B:B,1)</f>
        <v>21</v>
      </c>
      <c r="F27" s="3"/>
      <c r="G27" s="3"/>
      <c r="H27" s="2"/>
      <c r="I27" s="2"/>
      <c r="J27" s="2"/>
    </row>
    <row r="28" spans="1:16" x14ac:dyDescent="0.25">
      <c r="A28" s="1">
        <v>27</v>
      </c>
      <c r="B28" s="1">
        <v>3</v>
      </c>
      <c r="D28" s="8" t="s">
        <v>22</v>
      </c>
      <c r="F28" s="13" t="s">
        <v>34</v>
      </c>
      <c r="G28" s="14"/>
      <c r="H28" s="14"/>
      <c r="I28" s="14"/>
      <c r="J28" s="15"/>
    </row>
    <row r="29" spans="1:16" x14ac:dyDescent="0.25">
      <c r="A29" s="1">
        <v>28</v>
      </c>
      <c r="B29" s="1">
        <v>6</v>
      </c>
      <c r="D29" s="8">
        <f>21/100</f>
        <v>0.21</v>
      </c>
      <c r="F29" s="3"/>
      <c r="G29" s="3"/>
      <c r="H29" s="2">
        <f>COUNTIFS(G2:G11,"F",H2:H11,"Yes")/COUNTIF(G2:G11,"F")</f>
        <v>0</v>
      </c>
      <c r="I29" s="2"/>
      <c r="J29" s="2"/>
    </row>
    <row r="30" spans="1:16" x14ac:dyDescent="0.25">
      <c r="A30" s="1">
        <v>29</v>
      </c>
      <c r="B30" s="1">
        <v>1</v>
      </c>
      <c r="D30" s="2"/>
    </row>
    <row r="31" spans="1:16" x14ac:dyDescent="0.25">
      <c r="A31" s="1">
        <v>30</v>
      </c>
      <c r="B31" s="1">
        <v>2</v>
      </c>
      <c r="D31" s="2" t="s">
        <v>14</v>
      </c>
    </row>
    <row r="32" spans="1:16" x14ac:dyDescent="0.25">
      <c r="A32" s="1">
        <v>31</v>
      </c>
      <c r="B32" s="1">
        <v>5</v>
      </c>
      <c r="D32" s="2">
        <f>(COUNTIF(B:B,2)+COUNTIF(B:B,4))/100</f>
        <v>0.36</v>
      </c>
    </row>
    <row r="33" spans="1:2" x14ac:dyDescent="0.25">
      <c r="A33" s="1">
        <v>32</v>
      </c>
      <c r="B33" s="1">
        <v>2</v>
      </c>
    </row>
    <row r="34" spans="1:2" x14ac:dyDescent="0.25">
      <c r="A34" s="1">
        <v>33</v>
      </c>
      <c r="B34" s="1">
        <v>4</v>
      </c>
    </row>
    <row r="35" spans="1:2" x14ac:dyDescent="0.25">
      <c r="A35" s="1">
        <v>34</v>
      </c>
      <c r="B35" s="1">
        <v>4</v>
      </c>
    </row>
    <row r="36" spans="1:2" x14ac:dyDescent="0.25">
      <c r="A36" s="1">
        <v>35</v>
      </c>
      <c r="B36" s="1">
        <v>5</v>
      </c>
    </row>
    <row r="37" spans="1:2" x14ac:dyDescent="0.25">
      <c r="A37" s="1">
        <v>36</v>
      </c>
      <c r="B37" s="1">
        <v>4</v>
      </c>
    </row>
    <row r="38" spans="1:2" x14ac:dyDescent="0.25">
      <c r="A38" s="1">
        <v>37</v>
      </c>
      <c r="B38" s="1">
        <v>3</v>
      </c>
    </row>
    <row r="39" spans="1:2" x14ac:dyDescent="0.25">
      <c r="A39" s="1">
        <v>38</v>
      </c>
      <c r="B39" s="1">
        <v>2</v>
      </c>
    </row>
    <row r="40" spans="1:2" x14ac:dyDescent="0.25">
      <c r="A40" s="1">
        <v>39</v>
      </c>
      <c r="B40" s="1">
        <v>1</v>
      </c>
    </row>
    <row r="41" spans="1:2" x14ac:dyDescent="0.25">
      <c r="A41" s="1">
        <v>40</v>
      </c>
      <c r="B41" s="1">
        <v>5</v>
      </c>
    </row>
    <row r="42" spans="1:2" x14ac:dyDescent="0.25">
      <c r="A42" s="1">
        <v>41</v>
      </c>
      <c r="B42" s="1">
        <v>6</v>
      </c>
    </row>
    <row r="43" spans="1:2" x14ac:dyDescent="0.25">
      <c r="A43" s="1">
        <v>42</v>
      </c>
      <c r="B43" s="1">
        <v>6</v>
      </c>
    </row>
    <row r="44" spans="1:2" x14ac:dyDescent="0.25">
      <c r="A44" s="1">
        <v>43</v>
      </c>
      <c r="B44" s="1">
        <v>3</v>
      </c>
    </row>
    <row r="45" spans="1:2" x14ac:dyDescent="0.25">
      <c r="A45" s="1">
        <v>44</v>
      </c>
      <c r="B45" s="1">
        <v>6</v>
      </c>
    </row>
    <row r="46" spans="1:2" x14ac:dyDescent="0.25">
      <c r="A46" s="1">
        <v>45</v>
      </c>
      <c r="B46" s="1">
        <v>4</v>
      </c>
    </row>
    <row r="47" spans="1:2" x14ac:dyDescent="0.25">
      <c r="A47" s="1">
        <v>46</v>
      </c>
      <c r="B47" s="1">
        <v>4</v>
      </c>
    </row>
    <row r="48" spans="1:2" x14ac:dyDescent="0.25">
      <c r="A48" s="1">
        <v>47</v>
      </c>
      <c r="B48" s="1">
        <v>3</v>
      </c>
    </row>
    <row r="49" spans="1:2" x14ac:dyDescent="0.25">
      <c r="A49" s="1">
        <v>48</v>
      </c>
      <c r="B49" s="1">
        <v>4</v>
      </c>
    </row>
    <row r="50" spans="1:2" x14ac:dyDescent="0.25">
      <c r="A50" s="1">
        <v>49</v>
      </c>
      <c r="B50" s="1">
        <v>3</v>
      </c>
    </row>
    <row r="51" spans="1:2" x14ac:dyDescent="0.25">
      <c r="A51" s="1">
        <v>50</v>
      </c>
      <c r="B51" s="1">
        <v>1</v>
      </c>
    </row>
    <row r="52" spans="1:2" x14ac:dyDescent="0.25">
      <c r="A52" s="1">
        <v>51</v>
      </c>
      <c r="B52" s="1">
        <v>1</v>
      </c>
    </row>
    <row r="53" spans="1:2" x14ac:dyDescent="0.25">
      <c r="A53" s="1">
        <v>52</v>
      </c>
      <c r="B53" s="1">
        <v>3</v>
      </c>
    </row>
    <row r="54" spans="1:2" x14ac:dyDescent="0.25">
      <c r="A54" s="1">
        <v>53</v>
      </c>
      <c r="B54" s="1">
        <v>4</v>
      </c>
    </row>
    <row r="55" spans="1:2" x14ac:dyDescent="0.25">
      <c r="A55" s="1">
        <v>54</v>
      </c>
      <c r="B55" s="1">
        <v>5</v>
      </c>
    </row>
    <row r="56" spans="1:2" x14ac:dyDescent="0.25">
      <c r="A56" s="1">
        <v>55</v>
      </c>
      <c r="B56" s="1">
        <v>3</v>
      </c>
    </row>
    <row r="57" spans="1:2" x14ac:dyDescent="0.25">
      <c r="A57" s="1">
        <v>56</v>
      </c>
      <c r="B57" s="1">
        <v>3</v>
      </c>
    </row>
    <row r="58" spans="1:2" x14ac:dyDescent="0.25">
      <c r="A58" s="1">
        <v>57</v>
      </c>
      <c r="B58" s="1">
        <v>1</v>
      </c>
    </row>
    <row r="59" spans="1:2" x14ac:dyDescent="0.25">
      <c r="A59" s="1">
        <v>58</v>
      </c>
      <c r="B59" s="1">
        <v>1</v>
      </c>
    </row>
    <row r="60" spans="1:2" x14ac:dyDescent="0.25">
      <c r="A60" s="1">
        <v>59</v>
      </c>
      <c r="B60" s="1">
        <v>4</v>
      </c>
    </row>
    <row r="61" spans="1:2" x14ac:dyDescent="0.25">
      <c r="A61" s="1">
        <v>60</v>
      </c>
      <c r="B61" s="1">
        <v>5</v>
      </c>
    </row>
    <row r="62" spans="1:2" x14ac:dyDescent="0.25">
      <c r="A62" s="1">
        <v>61</v>
      </c>
      <c r="B62" s="1">
        <v>1</v>
      </c>
    </row>
    <row r="63" spans="1:2" x14ac:dyDescent="0.25">
      <c r="A63" s="1">
        <v>62</v>
      </c>
      <c r="B63" s="1">
        <v>6</v>
      </c>
    </row>
    <row r="64" spans="1:2" x14ac:dyDescent="0.25">
      <c r="A64" s="1">
        <v>63</v>
      </c>
      <c r="B64" s="1">
        <v>2</v>
      </c>
    </row>
    <row r="65" spans="1:2" x14ac:dyDescent="0.25">
      <c r="A65" s="1">
        <v>64</v>
      </c>
      <c r="B65" s="1">
        <v>6</v>
      </c>
    </row>
    <row r="66" spans="1:2" x14ac:dyDescent="0.25">
      <c r="A66" s="1">
        <v>65</v>
      </c>
      <c r="B66" s="1">
        <v>1</v>
      </c>
    </row>
    <row r="67" spans="1:2" x14ac:dyDescent="0.25">
      <c r="A67" s="1">
        <v>66</v>
      </c>
      <c r="B67" s="1">
        <v>2</v>
      </c>
    </row>
    <row r="68" spans="1:2" x14ac:dyDescent="0.25">
      <c r="A68" s="1">
        <v>67</v>
      </c>
      <c r="B68" s="1">
        <v>3</v>
      </c>
    </row>
    <row r="69" spans="1:2" x14ac:dyDescent="0.25">
      <c r="A69" s="1">
        <v>68</v>
      </c>
      <c r="B69" s="1">
        <v>6</v>
      </c>
    </row>
    <row r="70" spans="1:2" x14ac:dyDescent="0.25">
      <c r="A70" s="1">
        <v>69</v>
      </c>
      <c r="B70" s="1">
        <v>2</v>
      </c>
    </row>
    <row r="71" spans="1:2" x14ac:dyDescent="0.25">
      <c r="A71" s="1">
        <v>70</v>
      </c>
      <c r="B71" s="1">
        <v>2</v>
      </c>
    </row>
    <row r="72" spans="1:2" x14ac:dyDescent="0.25">
      <c r="A72" s="1">
        <v>71</v>
      </c>
      <c r="B72" s="1">
        <v>2</v>
      </c>
    </row>
    <row r="73" spans="1:2" x14ac:dyDescent="0.25">
      <c r="A73" s="1">
        <v>72</v>
      </c>
      <c r="B73" s="1">
        <v>3</v>
      </c>
    </row>
    <row r="74" spans="1:2" x14ac:dyDescent="0.25">
      <c r="A74" s="1">
        <v>73</v>
      </c>
      <c r="B74" s="1">
        <v>6</v>
      </c>
    </row>
    <row r="75" spans="1:2" x14ac:dyDescent="0.25">
      <c r="A75" s="1">
        <v>74</v>
      </c>
      <c r="B75" s="1">
        <v>4</v>
      </c>
    </row>
    <row r="76" spans="1:2" x14ac:dyDescent="0.25">
      <c r="A76" s="1">
        <v>75</v>
      </c>
      <c r="B76" s="1">
        <v>3</v>
      </c>
    </row>
    <row r="77" spans="1:2" x14ac:dyDescent="0.25">
      <c r="A77" s="1">
        <v>76</v>
      </c>
      <c r="B77" s="1">
        <v>1</v>
      </c>
    </row>
    <row r="78" spans="1:2" x14ac:dyDescent="0.25">
      <c r="A78" s="1">
        <v>77</v>
      </c>
      <c r="B78" s="1">
        <v>1</v>
      </c>
    </row>
    <row r="79" spans="1:2" x14ac:dyDescent="0.25">
      <c r="A79" s="1">
        <v>78</v>
      </c>
      <c r="B79" s="1">
        <v>3</v>
      </c>
    </row>
    <row r="80" spans="1:2" x14ac:dyDescent="0.25">
      <c r="A80" s="1">
        <v>79</v>
      </c>
      <c r="B80" s="1">
        <v>4</v>
      </c>
    </row>
    <row r="81" spans="1:2" x14ac:dyDescent="0.25">
      <c r="A81" s="1">
        <v>80</v>
      </c>
      <c r="B81" s="1">
        <v>6</v>
      </c>
    </row>
    <row r="82" spans="1:2" x14ac:dyDescent="0.25">
      <c r="A82" s="1">
        <v>81</v>
      </c>
      <c r="B82" s="1">
        <v>2</v>
      </c>
    </row>
    <row r="83" spans="1:2" x14ac:dyDescent="0.25">
      <c r="A83" s="1">
        <v>82</v>
      </c>
      <c r="B83" s="1">
        <v>3</v>
      </c>
    </row>
    <row r="84" spans="1:2" x14ac:dyDescent="0.25">
      <c r="A84" s="1">
        <v>83</v>
      </c>
      <c r="B84" s="1">
        <v>1</v>
      </c>
    </row>
    <row r="85" spans="1:2" x14ac:dyDescent="0.25">
      <c r="A85" s="1">
        <v>84</v>
      </c>
      <c r="B85" s="1">
        <v>4</v>
      </c>
    </row>
    <row r="86" spans="1:2" x14ac:dyDescent="0.25">
      <c r="A86" s="1">
        <v>85</v>
      </c>
      <c r="B86" s="1">
        <v>4</v>
      </c>
    </row>
    <row r="87" spans="1:2" x14ac:dyDescent="0.25">
      <c r="A87" s="1">
        <v>86</v>
      </c>
      <c r="B87" s="1">
        <v>3</v>
      </c>
    </row>
    <row r="88" spans="1:2" x14ac:dyDescent="0.25">
      <c r="A88" s="1">
        <v>87</v>
      </c>
      <c r="B88" s="1">
        <v>1</v>
      </c>
    </row>
    <row r="89" spans="1:2" x14ac:dyDescent="0.25">
      <c r="A89" s="1">
        <v>88</v>
      </c>
      <c r="B89" s="1">
        <v>4</v>
      </c>
    </row>
    <row r="90" spans="1:2" x14ac:dyDescent="0.25">
      <c r="A90" s="1">
        <v>89</v>
      </c>
      <c r="B90" s="1">
        <v>4</v>
      </c>
    </row>
    <row r="91" spans="1:2" x14ac:dyDescent="0.25">
      <c r="A91" s="1">
        <v>90</v>
      </c>
      <c r="B91" s="1">
        <v>4</v>
      </c>
    </row>
    <row r="92" spans="1:2" x14ac:dyDescent="0.25">
      <c r="A92" s="1">
        <v>91</v>
      </c>
      <c r="B92" s="1">
        <v>6</v>
      </c>
    </row>
    <row r="93" spans="1:2" x14ac:dyDescent="0.25">
      <c r="A93" s="1">
        <v>92</v>
      </c>
      <c r="B93" s="1">
        <v>1</v>
      </c>
    </row>
    <row r="94" spans="1:2" x14ac:dyDescent="0.25">
      <c r="A94" s="1">
        <v>93</v>
      </c>
      <c r="B94" s="1">
        <v>3</v>
      </c>
    </row>
    <row r="95" spans="1:2" x14ac:dyDescent="0.25">
      <c r="A95" s="1">
        <v>94</v>
      </c>
      <c r="B95" s="1">
        <v>1</v>
      </c>
    </row>
    <row r="96" spans="1:2" x14ac:dyDescent="0.25">
      <c r="A96" s="1">
        <v>95</v>
      </c>
      <c r="B96" s="1">
        <v>3</v>
      </c>
    </row>
    <row r="97" spans="1:2" x14ac:dyDescent="0.25">
      <c r="A97" s="1">
        <v>96</v>
      </c>
      <c r="B97" s="1">
        <v>1</v>
      </c>
    </row>
    <row r="98" spans="1:2" x14ac:dyDescent="0.25">
      <c r="A98" s="1">
        <v>97</v>
      </c>
      <c r="B98" s="1">
        <v>1</v>
      </c>
    </row>
    <row r="99" spans="1:2" x14ac:dyDescent="0.25">
      <c r="A99" s="1">
        <v>98</v>
      </c>
      <c r="B99" s="1">
        <v>4</v>
      </c>
    </row>
    <row r="100" spans="1:2" x14ac:dyDescent="0.25">
      <c r="A100" s="1">
        <v>99</v>
      </c>
      <c r="B100" s="1">
        <v>5</v>
      </c>
    </row>
    <row r="101" spans="1:2" x14ac:dyDescent="0.25">
      <c r="A101" s="1">
        <v>100</v>
      </c>
      <c r="B101" s="1">
        <v>4</v>
      </c>
    </row>
  </sheetData>
  <mergeCells count="10">
    <mergeCell ref="F28:J28"/>
    <mergeCell ref="F25:J25"/>
    <mergeCell ref="F22:J22"/>
    <mergeCell ref="N16:P16"/>
    <mergeCell ref="N13:P13"/>
    <mergeCell ref="N19:P19"/>
    <mergeCell ref="N22:P22"/>
    <mergeCell ref="F13:J13"/>
    <mergeCell ref="F16:J16"/>
    <mergeCell ref="F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Probability</vt:lpstr>
      <vt:lpstr>Dice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PULLA</dc:creator>
  <cp:lastModifiedBy>KARTHIK PULLA</cp:lastModifiedBy>
  <dcterms:created xsi:type="dcterms:W3CDTF">2026-06-24T06:43:28Z</dcterms:created>
  <dcterms:modified xsi:type="dcterms:W3CDTF">2026-06-25T07:16:24Z</dcterms:modified>
</cp:coreProperties>
</file>