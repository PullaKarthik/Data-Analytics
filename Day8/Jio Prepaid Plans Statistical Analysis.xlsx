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2EB07053-8492-4CD1-A685-7AC7C805280E}" xr6:coauthVersionLast="47" xr6:coauthVersionMax="47" xr10:uidLastSave="{00000000-0000-0000-0000-000000000000}"/>
  <bookViews>
    <workbookView xWindow="-120" yWindow="-120" windowWidth="29040" windowHeight="15720" xr2:uid="{77B72FF1-19EE-45B4-B358-26EB88F16068}"/>
  </bookViews>
  <sheets>
    <sheet name="Jio - Jio Prepaid Planes" sheetId="1" r:id="rId1"/>
  </sheets>
  <calcPr calcId="0"/>
</workbook>
</file>

<file path=xl/calcChain.xml><?xml version="1.0" encoding="utf-8"?>
<calcChain xmlns="http://schemas.openxmlformats.org/spreadsheetml/2006/main">
  <c r="O31" i="1" l="1"/>
  <c r="N30" i="1"/>
  <c r="M29" i="1"/>
  <c r="L28" i="1"/>
  <c r="K27" i="1"/>
  <c r="J26" i="1"/>
</calcChain>
</file>

<file path=xl/sharedStrings.xml><?xml version="1.0" encoding="utf-8"?>
<sst xmlns="http://schemas.openxmlformats.org/spreadsheetml/2006/main" count="291" uniqueCount="81">
  <si>
    <t>Days</t>
  </si>
  <si>
    <t>Price</t>
  </si>
  <si>
    <t>Price/Day</t>
  </si>
  <si>
    <t>For 365 Days</t>
  </si>
  <si>
    <t>Profit per customer</t>
  </si>
  <si>
    <t>From 400 Million users</t>
  </si>
  <si>
    <t>Data_per_day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</si>
  <si>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</si>
  <si>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</si>
  <si>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</si>
  <si>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</si>
  <si>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</si>
  <si>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</si>
  <si>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</si>
  <si>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</si>
  <si>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</si>
  <si>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</si>
  <si>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</si>
  <si>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</si>
  <si>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</si>
  <si>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</si>
  <si>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</si>
  <si>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</si>
  <si>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</si>
  <si>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</si>
  <si>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</si>
  <si>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</si>
  <si>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</si>
  <si>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</si>
  <si>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</si>
  <si>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</si>
  <si>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</si>
  <si>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</si>
  <si>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Correlation</t>
  </si>
  <si>
    <t>Covariance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</si>
  <si>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</si>
  <si>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</si>
  <si>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</si>
  <si>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</si>
  <si>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</si>
  <si>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</si>
  <si>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</si>
  <si>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</si>
  <si>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</si>
  <si>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</si>
  <si>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</si>
  <si>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Descriptive Statistics</t>
  </si>
  <si>
    <t>F-Test Two-Sample for Variances</t>
  </si>
  <si>
    <t>Observations</t>
  </si>
  <si>
    <t>P(F&lt;=f) one-tail</t>
  </si>
  <si>
    <t>F Critical one-tail</t>
  </si>
  <si>
    <t>t-Test: Paired Two Sample for Means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</si>
  <si>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</si>
  <si>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</si>
  <si>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</si>
  <si>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</si>
  <si>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</si>
  <si>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</si>
  <si>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</si>
  <si>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</si>
  <si>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</si>
  <si>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</si>
  <si>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</si>
  <si>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</si>
  <si>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</si>
  <si>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</si>
  <si>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</si>
  <si>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</si>
  <si>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</si>
  <si>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</si>
  <si>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</si>
  <si>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</si>
  <si>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RESIDUAL OUTPUT</t>
  </si>
  <si>
    <t>Observation</t>
  </si>
  <si>
    <t>Predicted Price</t>
  </si>
  <si>
    <t>Residuals</t>
  </si>
  <si>
    <t>PROBABILITY OUTPUT</t>
  </si>
  <si>
    <t>Percentile</t>
  </si>
  <si>
    <t>SUMMARY OUTPUT OF REGRESSION</t>
  </si>
  <si>
    <t>t-Test: Two-Sample Assuming Equal Variances</t>
  </si>
  <si>
    <t>Pooled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</si>
</sst>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Fill="1" applyBorder="1" applyAlignment="1"/>
    <xf numFmtId="0" fontId="11" fillId="6" borderId="4" xfId="11" applyAlignment="1">
      <alignment horizontal="center"/>
    </xf>
    <xf numFmtId="0" fontId="11" fillId="6" borderId="4" xfId="11"/>
    <xf numFmtId="0" fontId="11" fillId="6" borderId="4" xfId="11" applyAlignment="1">
      <alignment horizontal="center"/>
    </xf>
    <xf numFmtId="0" fontId="11" fillId="6" borderId="4" xfId="11" applyAlignment="1"/>
    <xf numFmtId="0" fontId="11" fillId="6" borderId="10" xfId="11" applyBorder="1" applyAlignment="1">
      <alignment horizontal="center"/>
    </xf>
    <xf numFmtId="0" fontId="11" fillId="6" borderId="11" xfId="11" applyBorder="1" applyAlignment="1">
      <alignment horizontal="center"/>
    </xf>
    <xf numFmtId="0" fontId="11" fillId="6" borderId="12" xfId="11" applyBorder="1" applyAlignment="1">
      <alignment horizontal="center"/>
    </xf>
    <xf numFmtId="0" fontId="1" fillId="32" borderId="4" xfId="41" applyBorder="1" applyAlignment="1">
      <alignment horizontal="center"/>
    </xf>
    <xf numFmtId="0" fontId="1" fillId="32" borderId="4" xfId="41" applyBorder="1" applyAlignment="1">
      <alignment horizontal="center"/>
    </xf>
    <xf numFmtId="0" fontId="8" fillId="4" borderId="10" xfId="8" applyBorder="1" applyAlignment="1">
      <alignment horizontal="center"/>
    </xf>
    <xf numFmtId="0" fontId="8" fillId="4" borderId="11" xfId="8" applyBorder="1" applyAlignment="1">
      <alignment horizontal="center"/>
    </xf>
    <xf numFmtId="0" fontId="8" fillId="4" borderId="12" xfId="8" applyBorder="1" applyAlignment="1">
      <alignment horizontal="center"/>
    </xf>
    <xf numFmtId="0" fontId="8" fillId="4" borderId="4" xfId="8" applyBorder="1"/>
    <xf numFmtId="0" fontId="17" fillId="9" borderId="10" xfId="18" applyBorder="1" applyAlignment="1">
      <alignment horizontal="center"/>
    </xf>
    <xf numFmtId="0" fontId="17" fillId="9" borderId="11" xfId="18" applyBorder="1" applyAlignment="1">
      <alignment horizontal="center"/>
    </xf>
    <xf numFmtId="0" fontId="17" fillId="9" borderId="12" xfId="18" applyBorder="1" applyAlignment="1">
      <alignment horizontal="center"/>
    </xf>
    <xf numFmtId="0" fontId="17" fillId="29" borderId="10" xfId="38" applyBorder="1" applyAlignment="1">
      <alignment horizontal="center"/>
    </xf>
    <xf numFmtId="0" fontId="17" fillId="29" borderId="11" xfId="38" applyBorder="1" applyAlignment="1">
      <alignment horizontal="center"/>
    </xf>
    <xf numFmtId="0" fontId="17" fillId="29" borderId="12" xfId="38" applyBorder="1" applyAlignment="1">
      <alignment horizontal="center"/>
    </xf>
    <xf numFmtId="0" fontId="1" fillId="28" borderId="10" xfId="37" applyBorder="1" applyAlignment="1">
      <alignment horizontal="center"/>
    </xf>
    <xf numFmtId="0" fontId="1" fillId="28" borderId="11" xfId="37" applyBorder="1" applyAlignment="1">
      <alignment horizontal="center"/>
    </xf>
    <xf numFmtId="0" fontId="1" fillId="28" borderId="12" xfId="37" applyBorder="1" applyAlignment="1">
      <alignment horizontal="center"/>
    </xf>
    <xf numFmtId="0" fontId="1" fillId="28" borderId="4" xfId="37" applyBorder="1"/>
    <xf numFmtId="0" fontId="17" fillId="9" borderId="4" xfId="18" applyBorder="1"/>
    <xf numFmtId="0" fontId="9" fillId="5" borderId="4" xfId="9" applyAlignment="1">
      <alignment horizontal="center" vertical="center"/>
    </xf>
    <xf numFmtId="0" fontId="7" fillId="3" borderId="4" xfId="7" applyBorder="1" applyAlignment="1">
      <alignment horizontal="center" vertical="center"/>
    </xf>
    <xf numFmtId="0" fontId="6" fillId="2" borderId="4" xfId="6" applyBorder="1" applyAlignment="1">
      <alignment horizontal="center" vertical="center"/>
    </xf>
    <xf numFmtId="0" fontId="1" fillId="23" borderId="4" xfId="32" applyBorder="1" applyAlignment="1">
      <alignment horizontal="center" vertical="center"/>
    </xf>
    <xf numFmtId="0" fontId="13" fillId="7" borderId="7" xfId="13" applyAlignment="1">
      <alignment horizontal="center" vertical="center"/>
    </xf>
    <xf numFmtId="0" fontId="13" fillId="7" borderId="7" xfId="13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Data_per_day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'Jio - Jio Prepaid Planes'!$G$2:$G$17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</c:numCache>
            </c:numRef>
          </c:xVal>
          <c:yVal>
            <c:numRef>
              <c:f>'Jio - Jio Prepaid Planes'!$AA$25:$AA$40</c:f>
              <c:numCache>
                <c:formatCode>General</c:formatCode>
                <c:ptCount val="16"/>
                <c:pt idx="0">
                  <c:v>-216.928774928775</c:v>
                </c:pt>
                <c:pt idx="1">
                  <c:v>-246.928774928775</c:v>
                </c:pt>
                <c:pt idx="2">
                  <c:v>-276.928774928775</c:v>
                </c:pt>
                <c:pt idx="3">
                  <c:v>1953.5868945868947</c:v>
                </c:pt>
                <c:pt idx="4">
                  <c:v>74.586894586894573</c:v>
                </c:pt>
                <c:pt idx="5">
                  <c:v>-112.41310541310543</c:v>
                </c:pt>
                <c:pt idx="6">
                  <c:v>-332.41310541310543</c:v>
                </c:pt>
                <c:pt idx="7">
                  <c:v>-352.41310541310543</c:v>
                </c:pt>
                <c:pt idx="8">
                  <c:v>-392.41310541310543</c:v>
                </c:pt>
                <c:pt idx="9">
                  <c:v>-472.41310541310543</c:v>
                </c:pt>
                <c:pt idx="10">
                  <c:v>2122.1025641025644</c:v>
                </c:pt>
                <c:pt idx="11">
                  <c:v>-223.8974358974358</c:v>
                </c:pt>
                <c:pt idx="12">
                  <c:v>-457.8974358974358</c:v>
                </c:pt>
                <c:pt idx="13">
                  <c:v>-507.8974358974358</c:v>
                </c:pt>
                <c:pt idx="14">
                  <c:v>111.13390313390346</c:v>
                </c:pt>
                <c:pt idx="15">
                  <c:v>-668.86609686609654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35-4B71-9058-85F44709E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795935"/>
        <c:axId val="688800255"/>
      </c:scatterChart>
      <c:valAx>
        <c:axId val="688795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Data_per_day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8800255"/>
        <c:crosses val="autoZero"/>
        <c:crossBetween val="midCat"/>
      </c:valAx>
      <c:valAx>
        <c:axId val="688800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87959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535022965879267"/>
          <c:y val="0.27773966373015252"/>
          <c:w val="0.73657699037620294"/>
          <c:h val="0.4169356305709310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'Jio - Jio Prepaid Planes'!$AC$25:$AC$40</c:f>
              <c:numCache>
                <c:formatCode>General</c:formatCode>
                <c:ptCount val="16"/>
                <c:pt idx="0">
                  <c:v>3.125</c:v>
                </c:pt>
                <c:pt idx="1">
                  <c:v>9.375</c:v>
                </c:pt>
                <c:pt idx="2">
                  <c:v>15.625</c:v>
                </c:pt>
                <c:pt idx="3">
                  <c:v>21.875</c:v>
                </c:pt>
                <c:pt idx="4">
                  <c:v>28.125</c:v>
                </c:pt>
                <c:pt idx="5">
                  <c:v>34.375</c:v>
                </c:pt>
                <c:pt idx="6">
                  <c:v>40.625</c:v>
                </c:pt>
                <c:pt idx="7">
                  <c:v>46.875</c:v>
                </c:pt>
                <c:pt idx="8">
                  <c:v>53.125</c:v>
                </c:pt>
                <c:pt idx="9">
                  <c:v>59.375</c:v>
                </c:pt>
                <c:pt idx="10">
                  <c:v>65.625</c:v>
                </c:pt>
                <c:pt idx="11">
                  <c:v>71.875</c:v>
                </c:pt>
                <c:pt idx="12">
                  <c:v>78.125</c:v>
                </c:pt>
                <c:pt idx="13">
                  <c:v>84.375</c:v>
                </c:pt>
                <c:pt idx="14">
                  <c:v>90.625</c:v>
                </c:pt>
                <c:pt idx="15">
                  <c:v>96.875</c:v>
                </c:pt>
              </c:numCache>
            </c:numRef>
          </c:xVal>
          <c:yVal>
            <c:numRef>
              <c:f>'Jio - Jio Prepaid Planes'!$AD$25:$AD$40</c:f>
              <c:numCache>
                <c:formatCode>General</c:formatCode>
                <c:ptCount val="16"/>
                <c:pt idx="0">
                  <c:v>119</c:v>
                </c:pt>
                <c:pt idx="1">
                  <c:v>149</c:v>
                </c:pt>
                <c:pt idx="2">
                  <c:v>179</c:v>
                </c:pt>
                <c:pt idx="3">
                  <c:v>199</c:v>
                </c:pt>
                <c:pt idx="4">
                  <c:v>209</c:v>
                </c:pt>
                <c:pt idx="5">
                  <c:v>239</c:v>
                </c:pt>
                <c:pt idx="6">
                  <c:v>249</c:v>
                </c:pt>
                <c:pt idx="7">
                  <c:v>259</c:v>
                </c:pt>
                <c:pt idx="8">
                  <c:v>299</c:v>
                </c:pt>
                <c:pt idx="9">
                  <c:v>419</c:v>
                </c:pt>
                <c:pt idx="10">
                  <c:v>479</c:v>
                </c:pt>
                <c:pt idx="11">
                  <c:v>533</c:v>
                </c:pt>
                <c:pt idx="12">
                  <c:v>666</c:v>
                </c:pt>
                <c:pt idx="13">
                  <c:v>1199</c:v>
                </c:pt>
                <c:pt idx="14">
                  <c:v>2545</c:v>
                </c:pt>
                <c:pt idx="15">
                  <c:v>2879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4-43B8-8E77-62D7C991E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937263"/>
        <c:axId val="625927663"/>
      </c:scatterChart>
      <c:valAx>
        <c:axId val="62593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5927663"/>
        <c:crosses val="autoZero"/>
        <c:crossBetween val="midCat"/>
      </c:valAx>
      <c:valAx>
        <c:axId val="625927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59372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</xdr:colOff>
      <xdr:row>0</xdr:row>
      <xdr:rowOff>0</xdr:rowOff>
    </xdr:from>
    <xdr:to>
      <xdr:col>35</xdr:col>
      <xdr:colOff>0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EDA48-3E92-6ED1-3F0E-E828BB226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21</xdr:row>
      <xdr:rowOff>9526</xdr:rowOff>
    </xdr:from>
    <xdr:to>
      <xdr:col>35</xdr:col>
      <xdr:colOff>0</xdr:colOff>
      <xdr:row>35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8F720-86B6-F631-40BB-E1E73960F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160D-1DF0-4B11-BF9F-BBB1997F6674}">
  <dimension ref="A1:AI65"/>
  <sheetViews>
    <sheetView tabSelected="1" workbookViewId="0">
      <selection activeCell="Z47" sqref="Z47"/>
    </sheetView>
  </sheetViews>
  <sheetFormatPr defaultRowHeight="15" x14ac:dyDescent="0.25"/>
  <cols>
    <col min="1" max="1" width="18.140625" bestFit="1" customWidth="1"/>
    <col min="3" max="3" width="18.140625" bestFit="1" customWidth="1"/>
    <col min="4" max="4" width="12" bestFit="1" customWidth="1"/>
    <col min="5" max="5" width="18.42578125" bestFit="1" customWidth="1"/>
    <col min="6" max="6" width="21.140625" bestFit="1" customWidth="1"/>
    <col min="7" max="7" width="18.140625" bestFit="1" customWidth="1"/>
    <col min="8" max="8" width="12" bestFit="1" customWidth="1"/>
    <col min="9" max="9" width="21.42578125" bestFit="1" customWidth="1"/>
    <col min="10" max="10" width="12.7109375" bestFit="1" customWidth="1"/>
    <col min="11" max="11" width="21.140625" bestFit="1" customWidth="1"/>
    <col min="12" max="12" width="18.5703125" bestFit="1" customWidth="1"/>
    <col min="13" max="13" width="21" customWidth="1"/>
    <col min="14" max="14" width="18.42578125" bestFit="1" customWidth="1"/>
    <col min="15" max="15" width="21.42578125" bestFit="1" customWidth="1"/>
    <col min="16" max="16" width="14.140625" bestFit="1" customWidth="1"/>
    <col min="17" max="17" width="18.140625" bestFit="1" customWidth="1"/>
    <col min="18" max="18" width="21.140625" bestFit="1" customWidth="1"/>
    <col min="19" max="19" width="21.42578125" bestFit="1" customWidth="1"/>
    <col min="20" max="20" width="13.28515625" bestFit="1" customWidth="1"/>
    <col min="21" max="21" width="12" bestFit="1" customWidth="1"/>
    <col min="22" max="22" width="19.42578125" customWidth="1"/>
    <col min="23" max="23" width="12" bestFit="1" customWidth="1"/>
    <col min="25" max="25" width="19.28515625" bestFit="1" customWidth="1"/>
    <col min="26" max="26" width="14.42578125" bestFit="1" customWidth="1"/>
    <col min="27" max="27" width="14.5703125" bestFit="1" customWidth="1"/>
    <col min="28" max="28" width="12" bestFit="1" customWidth="1"/>
    <col min="29" max="29" width="20.140625" bestFit="1" customWidth="1"/>
    <col min="30" max="30" width="13.42578125" bestFit="1" customWidth="1"/>
    <col min="31" max="31" width="12" bestFit="1" customWidth="1"/>
    <col min="32" max="32" width="12.7109375" bestFit="1" customWidth="1"/>
    <col min="33" max="33" width="12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1" t="s">
        <v>7</v>
      </c>
      <c r="J1" s="22"/>
      <c r="K1" s="22"/>
      <c r="L1" s="22"/>
      <c r="M1" s="22"/>
      <c r="N1" s="22"/>
      <c r="O1" s="23"/>
      <c r="Q1" s="15" t="s">
        <v>25</v>
      </c>
      <c r="R1" s="16"/>
      <c r="S1" s="16"/>
      <c r="T1" s="16"/>
      <c r="U1" s="16"/>
      <c r="V1" s="16"/>
      <c r="W1" s="17"/>
      <c r="Y1" s="6" t="s">
        <v>78</v>
      </c>
      <c r="Z1" s="7"/>
      <c r="AA1" s="7"/>
      <c r="AB1" s="7"/>
      <c r="AC1" s="7"/>
      <c r="AD1" s="7"/>
      <c r="AE1" s="7"/>
      <c r="AF1" s="7"/>
      <c r="AG1" s="8"/>
      <c r="AH1" s="3"/>
      <c r="AI1" s="3"/>
    </row>
    <row r="2" spans="1:35" x14ac:dyDescent="0.25">
      <c r="A2">
        <v>28</v>
      </c>
      <c r="B2">
        <v>209</v>
      </c>
      <c r="C2">
        <v>7.4642857139999998</v>
      </c>
      <c r="D2">
        <v>2724.4642859999999</v>
      </c>
      <c r="E2">
        <v>5.2142857139999998</v>
      </c>
      <c r="F2">
        <v>2085.7142859999999</v>
      </c>
      <c r="G2">
        <v>1</v>
      </c>
      <c r="I2" s="24"/>
      <c r="J2" s="24"/>
      <c r="K2" s="24"/>
      <c r="L2" s="24"/>
      <c r="M2" s="24"/>
      <c r="N2" s="24"/>
      <c r="O2" s="24"/>
      <c r="Q2" s="25"/>
      <c r="R2" s="25"/>
      <c r="S2" s="25"/>
      <c r="T2" s="25"/>
      <c r="U2" s="25"/>
      <c r="V2" s="25"/>
      <c r="W2" s="2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>
        <v>24</v>
      </c>
      <c r="B3">
        <v>179</v>
      </c>
      <c r="C3">
        <v>7.4583333329999997</v>
      </c>
      <c r="D3">
        <v>2722.291667</v>
      </c>
      <c r="E3">
        <v>3.0416666669999999</v>
      </c>
      <c r="F3">
        <v>1216.666667</v>
      </c>
      <c r="G3">
        <v>1</v>
      </c>
      <c r="I3" s="28" t="s">
        <v>8</v>
      </c>
      <c r="J3" s="28"/>
      <c r="K3" s="28"/>
      <c r="L3" s="28"/>
      <c r="M3" s="28"/>
      <c r="N3" s="28"/>
      <c r="O3" s="28"/>
      <c r="Q3" s="29" t="s">
        <v>8</v>
      </c>
      <c r="R3" s="29" t="s">
        <v>4</v>
      </c>
      <c r="S3" s="29" t="s">
        <v>5</v>
      </c>
      <c r="T3" s="29" t="s">
        <v>6</v>
      </c>
      <c r="U3" s="29" t="s">
        <v>24</v>
      </c>
      <c r="V3" s="29"/>
      <c r="W3" s="29"/>
      <c r="Y3" s="4" t="s">
        <v>59</v>
      </c>
      <c r="Z3" s="4"/>
      <c r="AA3" s="3"/>
      <c r="AB3" s="3"/>
      <c r="AC3" s="3"/>
      <c r="AD3" s="3"/>
      <c r="AE3" s="3"/>
      <c r="AF3" s="3"/>
      <c r="AG3" s="3"/>
      <c r="AH3" s="3"/>
      <c r="AI3" s="3"/>
    </row>
    <row r="4" spans="1:35" x14ac:dyDescent="0.25">
      <c r="A4">
        <v>20</v>
      </c>
      <c r="B4">
        <v>149</v>
      </c>
      <c r="C4">
        <v>7.45</v>
      </c>
      <c r="D4">
        <v>2719.25</v>
      </c>
      <c r="E4">
        <v>0</v>
      </c>
      <c r="F4">
        <v>0</v>
      </c>
      <c r="G4">
        <v>1</v>
      </c>
      <c r="I4" s="28" t="s">
        <v>9</v>
      </c>
      <c r="J4" s="28" t="s">
        <v>10</v>
      </c>
      <c r="K4" s="28" t="s">
        <v>11</v>
      </c>
      <c r="L4" s="28" t="s">
        <v>12</v>
      </c>
      <c r="M4" s="28" t="s">
        <v>13</v>
      </c>
      <c r="N4" s="28"/>
      <c r="O4" s="28"/>
      <c r="Q4" s="29">
        <v>2724.4642859999999</v>
      </c>
      <c r="R4" s="29"/>
      <c r="S4" s="29"/>
      <c r="T4" s="29"/>
      <c r="U4" s="29"/>
      <c r="V4" s="29"/>
      <c r="W4" s="29"/>
      <c r="Y4" s="5" t="s">
        <v>60</v>
      </c>
      <c r="Z4" s="5">
        <v>0.2368088469929901</v>
      </c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25">
      <c r="A5">
        <v>336</v>
      </c>
      <c r="B5">
        <v>2545</v>
      </c>
      <c r="C5">
        <v>7.5744047620000003</v>
      </c>
      <c r="D5">
        <v>2764.6577379999999</v>
      </c>
      <c r="E5">
        <v>0</v>
      </c>
      <c r="F5">
        <v>0</v>
      </c>
      <c r="G5">
        <v>1.5</v>
      </c>
      <c r="I5" s="28">
        <v>7.4642857139999998</v>
      </c>
      <c r="J5" s="28">
        <v>15</v>
      </c>
      <c r="K5" s="28">
        <v>141.43438448100002</v>
      </c>
      <c r="L5" s="28">
        <v>9.4289589654000014</v>
      </c>
      <c r="M5" s="28">
        <v>5.5116525081115402</v>
      </c>
      <c r="N5" s="28"/>
      <c r="O5" s="28"/>
      <c r="Q5" s="29" t="s">
        <v>10</v>
      </c>
      <c r="R5" s="29">
        <v>4</v>
      </c>
      <c r="S5" s="29">
        <v>4</v>
      </c>
      <c r="T5" s="29">
        <v>4</v>
      </c>
      <c r="U5" s="29">
        <v>12</v>
      </c>
      <c r="V5" s="29"/>
      <c r="W5" s="29"/>
      <c r="Y5" s="5" t="s">
        <v>61</v>
      </c>
      <c r="Z5" s="5">
        <v>5.6078430014149395E-2</v>
      </c>
      <c r="AA5" s="3"/>
      <c r="AB5" s="3"/>
      <c r="AC5" s="3"/>
      <c r="AD5" s="3"/>
      <c r="AE5" s="3"/>
      <c r="AF5" s="3"/>
      <c r="AG5" s="3"/>
      <c r="AH5" s="3"/>
      <c r="AI5" s="3"/>
    </row>
    <row r="6" spans="1:35" x14ac:dyDescent="0.25">
      <c r="A6">
        <v>84</v>
      </c>
      <c r="B6">
        <v>666</v>
      </c>
      <c r="C6">
        <v>7.9285714289999998</v>
      </c>
      <c r="D6">
        <v>2893.9285709999999</v>
      </c>
      <c r="E6">
        <v>129.27083329999999</v>
      </c>
      <c r="F6">
        <v>51708.333330000001</v>
      </c>
      <c r="G6">
        <v>1.5</v>
      </c>
      <c r="I6" s="28">
        <v>2724.4642859999999</v>
      </c>
      <c r="J6" s="28">
        <v>15</v>
      </c>
      <c r="K6" s="28">
        <v>51623.550335000007</v>
      </c>
      <c r="L6" s="28">
        <v>3441.5700223333338</v>
      </c>
      <c r="M6" s="28">
        <v>734289.9061165899</v>
      </c>
      <c r="N6" s="28"/>
      <c r="O6" s="28"/>
      <c r="Q6" s="29" t="s">
        <v>11</v>
      </c>
      <c r="R6" s="29">
        <v>8.2559523810000002</v>
      </c>
      <c r="S6" s="29">
        <v>3302.3809529999999</v>
      </c>
      <c r="T6" s="29">
        <v>4.5</v>
      </c>
      <c r="U6" s="29">
        <v>3315.1369053809999</v>
      </c>
      <c r="V6" s="29"/>
      <c r="W6" s="29"/>
      <c r="Y6" s="5" t="s">
        <v>62</v>
      </c>
      <c r="Z6" s="5">
        <v>-1.1344539270554217E-2</v>
      </c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25">
      <c r="A7">
        <v>56</v>
      </c>
      <c r="B7">
        <v>479</v>
      </c>
      <c r="C7">
        <v>8.5535714289999998</v>
      </c>
      <c r="D7">
        <v>3122.0535709999999</v>
      </c>
      <c r="E7">
        <v>357.39583329999999</v>
      </c>
      <c r="F7">
        <v>142958.3333</v>
      </c>
      <c r="G7">
        <v>1.5</v>
      </c>
      <c r="I7" s="28"/>
      <c r="J7" s="28"/>
      <c r="K7" s="28"/>
      <c r="L7" s="28"/>
      <c r="M7" s="28"/>
      <c r="N7" s="28"/>
      <c r="O7" s="28"/>
      <c r="Q7" s="29" t="s">
        <v>12</v>
      </c>
      <c r="R7" s="29">
        <v>2.06398809525</v>
      </c>
      <c r="S7" s="29">
        <v>825.59523824999997</v>
      </c>
      <c r="T7" s="29">
        <v>1.125</v>
      </c>
      <c r="U7" s="29">
        <v>276.26140878174999</v>
      </c>
      <c r="V7" s="29"/>
      <c r="W7" s="29"/>
      <c r="Y7" s="5" t="s">
        <v>36</v>
      </c>
      <c r="Z7" s="5">
        <v>849.8777476785624</v>
      </c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25">
      <c r="A8">
        <v>30</v>
      </c>
      <c r="B8">
        <v>259</v>
      </c>
      <c r="C8">
        <v>8.6333333329999995</v>
      </c>
      <c r="D8">
        <v>3151.166667</v>
      </c>
      <c r="E8">
        <v>386.50892859999999</v>
      </c>
      <c r="F8">
        <v>154603.57139999999</v>
      </c>
      <c r="G8">
        <v>1.5</v>
      </c>
      <c r="I8" s="28"/>
      <c r="J8" s="28"/>
      <c r="K8" s="28"/>
      <c r="L8" s="28"/>
      <c r="M8" s="28"/>
      <c r="N8" s="28"/>
      <c r="O8" s="28"/>
      <c r="Q8" s="29" t="s">
        <v>13</v>
      </c>
      <c r="R8" s="29">
        <v>6.4667747303428271</v>
      </c>
      <c r="S8" s="29">
        <v>1034683.9572430272</v>
      </c>
      <c r="T8" s="29">
        <v>6.25E-2</v>
      </c>
      <c r="U8" s="29">
        <v>446789.01455818838</v>
      </c>
      <c r="V8" s="29"/>
      <c r="W8" s="29"/>
      <c r="Y8" s="5" t="s">
        <v>48</v>
      </c>
      <c r="Z8" s="5">
        <v>16</v>
      </c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25">
      <c r="A9">
        <v>28</v>
      </c>
      <c r="B9">
        <v>239</v>
      </c>
      <c r="C9">
        <v>8.5357142859999993</v>
      </c>
      <c r="D9">
        <v>3115.5357140000001</v>
      </c>
      <c r="E9">
        <v>350.87797619999998</v>
      </c>
      <c r="F9">
        <v>140351.1905</v>
      </c>
      <c r="G9">
        <v>1.5</v>
      </c>
      <c r="I9" s="28" t="s">
        <v>14</v>
      </c>
      <c r="J9" s="28"/>
      <c r="K9" s="28"/>
      <c r="L9" s="28"/>
      <c r="M9" s="28"/>
      <c r="N9" s="28"/>
      <c r="O9" s="28"/>
      <c r="Q9" s="29"/>
      <c r="R9" s="29"/>
      <c r="S9" s="29"/>
      <c r="T9" s="29"/>
      <c r="U9" s="29"/>
      <c r="V9" s="29"/>
      <c r="W9" s="29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25">
      <c r="A10">
        <v>23</v>
      </c>
      <c r="B10">
        <v>199</v>
      </c>
      <c r="C10">
        <v>8.6521739130000004</v>
      </c>
      <c r="D10">
        <v>3158.0434780000001</v>
      </c>
      <c r="E10">
        <v>393.38574019999999</v>
      </c>
      <c r="F10">
        <v>157354.29610000001</v>
      </c>
      <c r="G10">
        <v>1.5</v>
      </c>
      <c r="I10" s="28" t="s">
        <v>15</v>
      </c>
      <c r="J10" s="28" t="s">
        <v>16</v>
      </c>
      <c r="K10" s="28" t="s">
        <v>17</v>
      </c>
      <c r="L10" s="28" t="s">
        <v>18</v>
      </c>
      <c r="M10" s="28" t="s">
        <v>19</v>
      </c>
      <c r="N10" s="28" t="s">
        <v>20</v>
      </c>
      <c r="O10" s="28" t="s">
        <v>21</v>
      </c>
      <c r="Q10" s="29">
        <v>2893.9285709999999</v>
      </c>
      <c r="R10" s="29"/>
      <c r="S10" s="29"/>
      <c r="T10" s="29"/>
      <c r="U10" s="29"/>
      <c r="V10" s="29"/>
      <c r="W10" s="29"/>
      <c r="Y10" s="3" t="s">
        <v>14</v>
      </c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25">
      <c r="A11">
        <v>14</v>
      </c>
      <c r="B11">
        <v>119</v>
      </c>
      <c r="C11">
        <v>8.5</v>
      </c>
      <c r="D11">
        <v>3102.5</v>
      </c>
      <c r="E11">
        <v>337.84226189999998</v>
      </c>
      <c r="F11">
        <v>135136.90479999999</v>
      </c>
      <c r="G11">
        <v>1.5</v>
      </c>
      <c r="I11" s="28" t="s">
        <v>22</v>
      </c>
      <c r="J11" s="28">
        <v>88346942.091422766</v>
      </c>
      <c r="K11" s="28">
        <v>1</v>
      </c>
      <c r="L11" s="28">
        <v>88346942.091422766</v>
      </c>
      <c r="M11" s="28">
        <v>240.63051451371894</v>
      </c>
      <c r="N11" s="28">
        <v>2.8103120881475153E-15</v>
      </c>
      <c r="O11" s="28">
        <v>4.195971818557763</v>
      </c>
      <c r="Q11" s="29" t="s">
        <v>10</v>
      </c>
      <c r="R11" s="29">
        <v>4</v>
      </c>
      <c r="S11" s="29">
        <v>4</v>
      </c>
      <c r="T11" s="29">
        <v>4</v>
      </c>
      <c r="U11" s="29">
        <v>12</v>
      </c>
      <c r="V11" s="29"/>
      <c r="W11" s="29"/>
      <c r="Y11" s="4"/>
      <c r="Z11" s="4" t="s">
        <v>17</v>
      </c>
      <c r="AA11" s="4" t="s">
        <v>16</v>
      </c>
      <c r="AB11" s="4" t="s">
        <v>18</v>
      </c>
      <c r="AC11" s="4" t="s">
        <v>19</v>
      </c>
      <c r="AD11" s="4" t="s">
        <v>66</v>
      </c>
      <c r="AE11" s="3"/>
      <c r="AF11" s="3"/>
      <c r="AG11" s="3"/>
      <c r="AH11" s="3"/>
      <c r="AI11" s="3"/>
    </row>
    <row r="12" spans="1:35" x14ac:dyDescent="0.25">
      <c r="A12">
        <v>365</v>
      </c>
      <c r="B12">
        <v>2879</v>
      </c>
      <c r="C12">
        <v>7.8876712329999998</v>
      </c>
      <c r="D12">
        <v>2879</v>
      </c>
      <c r="E12">
        <v>0</v>
      </c>
      <c r="F12">
        <v>0</v>
      </c>
      <c r="G12">
        <v>2</v>
      </c>
      <c r="I12" s="28" t="s">
        <v>23</v>
      </c>
      <c r="J12" s="28">
        <v>10280135.848767446</v>
      </c>
      <c r="K12" s="28">
        <v>28</v>
      </c>
      <c r="L12" s="28">
        <v>367147.70888455166</v>
      </c>
      <c r="M12" s="28"/>
      <c r="N12" s="28"/>
      <c r="O12" s="28"/>
      <c r="Q12" s="29" t="s">
        <v>11</v>
      </c>
      <c r="R12" s="29">
        <v>1224.0535714</v>
      </c>
      <c r="S12" s="29">
        <v>489621.42853000003</v>
      </c>
      <c r="T12" s="29">
        <v>6</v>
      </c>
      <c r="U12" s="29">
        <v>490851.48210140003</v>
      </c>
      <c r="V12" s="29"/>
      <c r="W12" s="29"/>
      <c r="Y12" s="5" t="s">
        <v>63</v>
      </c>
      <c r="Z12" s="5">
        <v>1</v>
      </c>
      <c r="AA12" s="5">
        <v>600759.83351139352</v>
      </c>
      <c r="AB12" s="5">
        <v>600759.83351139352</v>
      </c>
      <c r="AC12" s="5">
        <v>0.83174073478356925</v>
      </c>
      <c r="AD12" s="5">
        <v>0.37720664564008066</v>
      </c>
      <c r="AE12" s="3"/>
      <c r="AF12" s="3"/>
      <c r="AG12" s="3"/>
      <c r="AH12" s="3"/>
      <c r="AI12" s="3"/>
    </row>
    <row r="13" spans="1:35" x14ac:dyDescent="0.25">
      <c r="A13">
        <v>56</v>
      </c>
      <c r="B13">
        <v>533</v>
      </c>
      <c r="C13">
        <v>9.5178571430000005</v>
      </c>
      <c r="D13">
        <v>3474.0178569999998</v>
      </c>
      <c r="E13">
        <v>595.01785710000001</v>
      </c>
      <c r="F13">
        <v>238007.14290000001</v>
      </c>
      <c r="G13">
        <v>2</v>
      </c>
      <c r="I13" s="28"/>
      <c r="J13" s="28"/>
      <c r="K13" s="28"/>
      <c r="L13" s="28"/>
      <c r="M13" s="28"/>
      <c r="N13" s="28"/>
      <c r="O13" s="28"/>
      <c r="Q13" s="29" t="s">
        <v>12</v>
      </c>
      <c r="R13" s="29">
        <v>306.01339285</v>
      </c>
      <c r="S13" s="29">
        <v>122405.35713250001</v>
      </c>
      <c r="T13" s="29">
        <v>1.5</v>
      </c>
      <c r="U13" s="29">
        <v>40904.290175116672</v>
      </c>
      <c r="V13" s="29"/>
      <c r="W13" s="29"/>
      <c r="Y13" s="5" t="s">
        <v>64</v>
      </c>
      <c r="Z13" s="5">
        <v>14</v>
      </c>
      <c r="AA13" s="5">
        <v>10112090.603988606</v>
      </c>
      <c r="AB13" s="5">
        <v>722292.18599918613</v>
      </c>
      <c r="AC13" s="5"/>
      <c r="AD13" s="5"/>
      <c r="AE13" s="3"/>
      <c r="AF13" s="3"/>
      <c r="AG13" s="3"/>
      <c r="AH13" s="3"/>
      <c r="AI13" s="3"/>
    </row>
    <row r="14" spans="1:35" x14ac:dyDescent="0.25">
      <c r="A14">
        <v>28</v>
      </c>
      <c r="B14">
        <v>299</v>
      </c>
      <c r="C14">
        <v>10.67857143</v>
      </c>
      <c r="D14">
        <v>3897.6785709999999</v>
      </c>
      <c r="E14">
        <v>1018.678571</v>
      </c>
      <c r="F14">
        <v>407471.42859999998</v>
      </c>
      <c r="G14">
        <v>2</v>
      </c>
      <c r="I14" s="28" t="s">
        <v>24</v>
      </c>
      <c r="J14" s="28">
        <v>98627077.940190211</v>
      </c>
      <c r="K14" s="28">
        <v>29</v>
      </c>
      <c r="L14" s="28"/>
      <c r="M14" s="28"/>
      <c r="N14" s="28"/>
      <c r="O14" s="28"/>
      <c r="Q14" s="29" t="s">
        <v>13</v>
      </c>
      <c r="R14" s="29">
        <v>14123.483219243877</v>
      </c>
      <c r="S14" s="29">
        <v>2259757313.714325</v>
      </c>
      <c r="T14" s="29">
        <v>0</v>
      </c>
      <c r="U14" s="29">
        <v>4239458478.1415253</v>
      </c>
      <c r="V14" s="29"/>
      <c r="W14" s="29"/>
      <c r="Y14" s="5" t="s">
        <v>24</v>
      </c>
      <c r="Z14" s="5">
        <v>15</v>
      </c>
      <c r="AA14" s="5">
        <v>10712850.4375</v>
      </c>
      <c r="AB14" s="5"/>
      <c r="AC14" s="5"/>
      <c r="AD14" s="5"/>
      <c r="AE14" s="3"/>
      <c r="AF14" s="3"/>
      <c r="AG14" s="3"/>
      <c r="AH14" s="3"/>
      <c r="AI14" s="3"/>
    </row>
    <row r="15" spans="1:35" x14ac:dyDescent="0.25">
      <c r="A15">
        <v>23</v>
      </c>
      <c r="B15">
        <v>249</v>
      </c>
      <c r="C15">
        <v>10.82608696</v>
      </c>
      <c r="D15">
        <v>3951.5217389999998</v>
      </c>
      <c r="E15">
        <v>1072.521739</v>
      </c>
      <c r="F15">
        <v>429008.69569999998</v>
      </c>
      <c r="G15">
        <v>2</v>
      </c>
      <c r="Q15" s="29"/>
      <c r="R15" s="29"/>
      <c r="S15" s="29"/>
      <c r="T15" s="29"/>
      <c r="U15" s="29"/>
      <c r="V15" s="29"/>
      <c r="W15" s="29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25">
      <c r="A16">
        <v>84</v>
      </c>
      <c r="B16">
        <v>1199</v>
      </c>
      <c r="C16">
        <v>14.27380952</v>
      </c>
      <c r="D16">
        <v>5209.9404759999998</v>
      </c>
      <c r="E16">
        <v>0</v>
      </c>
      <c r="F16">
        <v>0</v>
      </c>
      <c r="G16">
        <v>3</v>
      </c>
      <c r="I16" s="15" t="s">
        <v>33</v>
      </c>
      <c r="J16" s="16"/>
      <c r="K16" s="16"/>
      <c r="L16" s="16"/>
      <c r="M16" s="16"/>
      <c r="N16" s="16"/>
      <c r="O16" s="17"/>
      <c r="Q16" s="29">
        <v>3158.0434780000001</v>
      </c>
      <c r="R16" s="29"/>
      <c r="S16" s="29"/>
      <c r="T16" s="29"/>
      <c r="U16" s="29"/>
      <c r="V16" s="29"/>
      <c r="W16" s="29"/>
      <c r="Y16" s="4"/>
      <c r="Z16" s="4" t="s">
        <v>67</v>
      </c>
      <c r="AA16" s="4" t="s">
        <v>36</v>
      </c>
      <c r="AB16" s="4" t="s">
        <v>54</v>
      </c>
      <c r="AC16" s="4" t="s">
        <v>20</v>
      </c>
      <c r="AD16" s="4" t="s">
        <v>68</v>
      </c>
      <c r="AE16" s="4" t="s">
        <v>69</v>
      </c>
      <c r="AF16" s="4" t="s">
        <v>70</v>
      </c>
      <c r="AG16" s="4" t="s">
        <v>71</v>
      </c>
      <c r="AH16" s="3"/>
      <c r="AI16" s="3"/>
    </row>
    <row r="17" spans="1:35" x14ac:dyDescent="0.25">
      <c r="A17">
        <v>28</v>
      </c>
      <c r="B17">
        <v>419</v>
      </c>
      <c r="C17">
        <v>14.96428571</v>
      </c>
      <c r="D17">
        <v>5461.9642860000004</v>
      </c>
      <c r="E17">
        <v>252.0238095</v>
      </c>
      <c r="F17">
        <v>100809.5238</v>
      </c>
      <c r="G17">
        <v>3</v>
      </c>
      <c r="I17" s="26" t="s">
        <v>27</v>
      </c>
      <c r="J17" s="26" t="s">
        <v>2</v>
      </c>
      <c r="K17" s="26" t="s">
        <v>3</v>
      </c>
      <c r="L17" s="26" t="s">
        <v>4</v>
      </c>
      <c r="M17" s="26" t="s">
        <v>5</v>
      </c>
      <c r="N17" s="26" t="s">
        <v>6</v>
      </c>
      <c r="O17" s="26"/>
      <c r="Q17" s="29" t="s">
        <v>10</v>
      </c>
      <c r="R17" s="29">
        <v>4</v>
      </c>
      <c r="S17" s="29">
        <v>4</v>
      </c>
      <c r="T17" s="29">
        <v>4</v>
      </c>
      <c r="U17" s="29">
        <v>12</v>
      </c>
      <c r="V17" s="29"/>
      <c r="W17" s="29"/>
      <c r="Y17" s="5" t="s">
        <v>65</v>
      </c>
      <c r="Z17" s="5">
        <v>94.960113960114199</v>
      </c>
      <c r="AA17" s="5">
        <v>658.93735407685108</v>
      </c>
      <c r="AB17" s="5">
        <v>0.14411098926566412</v>
      </c>
      <c r="AC17" s="5">
        <v>0.88746672772527346</v>
      </c>
      <c r="AD17" s="5">
        <v>-1318.3199512356969</v>
      </c>
      <c r="AE17" s="5">
        <v>1508.240179155925</v>
      </c>
      <c r="AF17" s="5">
        <v>-1318.3199512356969</v>
      </c>
      <c r="AG17" s="5">
        <v>1508.240179155925</v>
      </c>
      <c r="AH17" s="3"/>
      <c r="AI17" s="3"/>
    </row>
    <row r="18" spans="1:35" x14ac:dyDescent="0.25">
      <c r="I18" s="26" t="s">
        <v>2</v>
      </c>
      <c r="J18" s="26">
        <v>1</v>
      </c>
      <c r="K18" s="26"/>
      <c r="L18" s="26"/>
      <c r="M18" s="26"/>
      <c r="N18" s="26"/>
      <c r="O18" s="26"/>
      <c r="Q18" s="29" t="s">
        <v>11</v>
      </c>
      <c r="R18" s="29">
        <v>1326.2458591999998</v>
      </c>
      <c r="S18" s="29">
        <v>530498.34380000003</v>
      </c>
      <c r="T18" s="29">
        <v>7</v>
      </c>
      <c r="U18" s="29">
        <v>531831.58965919993</v>
      </c>
      <c r="V18" s="29"/>
      <c r="W18" s="29"/>
      <c r="Y18" s="5" t="s">
        <v>6</v>
      </c>
      <c r="Z18" s="5">
        <v>330.9686609686608</v>
      </c>
      <c r="AA18" s="5">
        <v>362.90494585545036</v>
      </c>
      <c r="AB18" s="5">
        <v>0.91199820985765734</v>
      </c>
      <c r="AC18" s="5">
        <v>0.37720664564008</v>
      </c>
      <c r="AD18" s="5">
        <v>-447.3850358816407</v>
      </c>
      <c r="AE18" s="5">
        <v>1109.3223578189622</v>
      </c>
      <c r="AF18" s="5">
        <v>-447.3850358816407</v>
      </c>
      <c r="AG18" s="5">
        <v>1109.3223578189622</v>
      </c>
      <c r="AH18" s="3"/>
      <c r="AI18" s="3"/>
    </row>
    <row r="19" spans="1:35" x14ac:dyDescent="0.25">
      <c r="A19" s="11" t="s">
        <v>30</v>
      </c>
      <c r="B19" s="12"/>
      <c r="C19" s="12"/>
      <c r="D19" s="12"/>
      <c r="E19" s="12"/>
      <c r="F19" s="12"/>
      <c r="G19" s="13"/>
      <c r="I19" s="26" t="s">
        <v>3</v>
      </c>
      <c r="J19" s="26">
        <v>1</v>
      </c>
      <c r="K19" s="26">
        <v>1</v>
      </c>
      <c r="L19" s="26"/>
      <c r="M19" s="26"/>
      <c r="N19" s="26"/>
      <c r="O19" s="26"/>
      <c r="Q19" s="29" t="s">
        <v>12</v>
      </c>
      <c r="R19" s="29">
        <v>331.56146479999995</v>
      </c>
      <c r="S19" s="29">
        <v>132624.58595000001</v>
      </c>
      <c r="T19" s="29">
        <v>1.75</v>
      </c>
      <c r="U19" s="29">
        <v>44319.299138266659</v>
      </c>
      <c r="V19" s="29"/>
      <c r="W19" s="29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25">
      <c r="A20" s="14"/>
      <c r="B20" s="14"/>
      <c r="C20" s="14"/>
      <c r="D20" s="14"/>
      <c r="E20" s="14"/>
      <c r="F20" s="14"/>
      <c r="G20" s="14"/>
      <c r="I20" s="26" t="s">
        <v>4</v>
      </c>
      <c r="J20" s="26">
        <v>0.25430919633915527</v>
      </c>
      <c r="K20" s="26">
        <v>0.25430919567850541</v>
      </c>
      <c r="L20" s="26">
        <v>1</v>
      </c>
      <c r="M20" s="26"/>
      <c r="N20" s="26"/>
      <c r="O20" s="26"/>
      <c r="Q20" s="29" t="s">
        <v>13</v>
      </c>
      <c r="R20" s="29">
        <v>61067.988341666525</v>
      </c>
      <c r="S20" s="29">
        <v>9770878139.2786655</v>
      </c>
      <c r="T20" s="29">
        <v>8.3333333333333329E-2</v>
      </c>
      <c r="U20" s="29">
        <v>6918179749.6973257</v>
      </c>
      <c r="V20" s="29"/>
      <c r="W20" s="29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25">
      <c r="A21" s="27" t="s">
        <v>8</v>
      </c>
      <c r="B21" s="27" t="s">
        <v>10</v>
      </c>
      <c r="C21" s="27" t="s">
        <v>11</v>
      </c>
      <c r="D21" s="27" t="s">
        <v>12</v>
      </c>
      <c r="E21" s="27" t="s">
        <v>13</v>
      </c>
      <c r="F21" s="27"/>
      <c r="G21" s="27"/>
      <c r="I21" s="26" t="s">
        <v>5</v>
      </c>
      <c r="J21" s="26">
        <v>0.25430919634030613</v>
      </c>
      <c r="K21" s="26">
        <v>0.25430919567965615</v>
      </c>
      <c r="L21" s="26">
        <v>1</v>
      </c>
      <c r="M21" s="26">
        <v>1</v>
      </c>
      <c r="N21" s="26"/>
      <c r="O21" s="26"/>
      <c r="Q21" s="29"/>
      <c r="R21" s="29"/>
      <c r="S21" s="29"/>
      <c r="T21" s="29"/>
      <c r="U21" s="29"/>
      <c r="V21" s="29"/>
      <c r="W21" s="29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25">
      <c r="A22" s="27">
        <v>28</v>
      </c>
      <c r="B22" s="27">
        <v>2</v>
      </c>
      <c r="C22" s="27">
        <v>216.464285714</v>
      </c>
      <c r="D22" s="27">
        <v>108.232142857</v>
      </c>
      <c r="E22" s="27">
        <v>20308.322066384113</v>
      </c>
      <c r="F22" s="27"/>
      <c r="G22" s="27"/>
      <c r="I22" s="26" t="s">
        <v>6</v>
      </c>
      <c r="J22" s="26">
        <v>0.92901516980456555</v>
      </c>
      <c r="K22" s="26">
        <v>0.92901516976916854</v>
      </c>
      <c r="L22" s="26">
        <v>0.20579547011476654</v>
      </c>
      <c r="M22" s="26">
        <v>0.20579547012268054</v>
      </c>
      <c r="N22" s="26">
        <v>1</v>
      </c>
      <c r="O22" s="26"/>
      <c r="Q22" s="29">
        <v>3897.6785709999999</v>
      </c>
      <c r="R22" s="29"/>
      <c r="S22" s="29"/>
      <c r="T22" s="29"/>
      <c r="U22" s="29"/>
      <c r="V22" s="29"/>
      <c r="W22" s="29"/>
      <c r="Y22" s="3" t="s">
        <v>72</v>
      </c>
      <c r="Z22" s="3"/>
      <c r="AA22" s="3"/>
      <c r="AB22" s="3"/>
      <c r="AC22" s="3" t="s">
        <v>76</v>
      </c>
      <c r="AD22" s="3"/>
      <c r="AE22" s="3"/>
      <c r="AF22" s="3"/>
      <c r="AG22" s="3"/>
      <c r="AH22" s="3"/>
      <c r="AI22" s="3"/>
    </row>
    <row r="23" spans="1:35" ht="15.75" thickBot="1" x14ac:dyDescent="0.3">
      <c r="A23" s="27">
        <v>24</v>
      </c>
      <c r="B23" s="27">
        <v>2</v>
      </c>
      <c r="C23" s="27">
        <v>186.45833333300001</v>
      </c>
      <c r="D23" s="27">
        <v>93.229166666500006</v>
      </c>
      <c r="E23" s="27">
        <v>14713.271701446069</v>
      </c>
      <c r="F23" s="27"/>
      <c r="G23" s="27"/>
      <c r="Q23" s="29" t="s">
        <v>10</v>
      </c>
      <c r="R23" s="29">
        <v>4</v>
      </c>
      <c r="S23" s="29">
        <v>4</v>
      </c>
      <c r="T23" s="29">
        <v>4</v>
      </c>
      <c r="U23" s="29">
        <v>12</v>
      </c>
      <c r="V23" s="29"/>
      <c r="W23" s="29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6.5" thickTop="1" thickBot="1" x14ac:dyDescent="0.3">
      <c r="A24" s="27">
        <v>20</v>
      </c>
      <c r="B24" s="27">
        <v>2</v>
      </c>
      <c r="C24" s="27">
        <v>156.44999999999999</v>
      </c>
      <c r="D24" s="27">
        <v>78.224999999999994</v>
      </c>
      <c r="E24" s="27">
        <v>10018.20125</v>
      </c>
      <c r="F24" s="27"/>
      <c r="G24" s="27"/>
      <c r="I24" s="30" t="s">
        <v>34</v>
      </c>
      <c r="J24" s="30"/>
      <c r="K24" s="30"/>
      <c r="L24" s="30"/>
      <c r="M24" s="30"/>
      <c r="N24" s="30"/>
      <c r="O24" s="30"/>
      <c r="Q24" s="29" t="s">
        <v>11</v>
      </c>
      <c r="R24" s="29">
        <v>2343.2241195000001</v>
      </c>
      <c r="S24" s="29">
        <v>937289.64809999999</v>
      </c>
      <c r="T24" s="29">
        <v>10</v>
      </c>
      <c r="U24" s="29">
        <v>939642.87221950002</v>
      </c>
      <c r="V24" s="29"/>
      <c r="W24" s="29"/>
      <c r="Y24" s="4" t="s">
        <v>73</v>
      </c>
      <c r="Z24" s="4" t="s">
        <v>74</v>
      </c>
      <c r="AA24" s="4" t="s">
        <v>75</v>
      </c>
      <c r="AB24" s="3"/>
      <c r="AC24" s="4" t="s">
        <v>77</v>
      </c>
      <c r="AD24" s="4" t="s">
        <v>1</v>
      </c>
      <c r="AE24" s="3"/>
      <c r="AF24" s="3"/>
      <c r="AG24" s="3"/>
      <c r="AH24" s="3"/>
      <c r="AI24" s="3"/>
    </row>
    <row r="25" spans="1:35" ht="16.5" thickTop="1" thickBot="1" x14ac:dyDescent="0.3">
      <c r="A25" s="27">
        <v>336</v>
      </c>
      <c r="B25" s="27">
        <v>2</v>
      </c>
      <c r="C25" s="27">
        <v>2552.5744047620001</v>
      </c>
      <c r="D25" s="27">
        <v>1276.287202381</v>
      </c>
      <c r="E25" s="27">
        <v>3219264.3256844589</v>
      </c>
      <c r="F25" s="27"/>
      <c r="G25" s="27"/>
      <c r="I25" s="31" t="s">
        <v>27</v>
      </c>
      <c r="J25" s="31" t="s">
        <v>0</v>
      </c>
      <c r="K25" s="31" t="s">
        <v>1</v>
      </c>
      <c r="L25" s="31" t="s">
        <v>2</v>
      </c>
      <c r="M25" s="31" t="s">
        <v>3</v>
      </c>
      <c r="N25" s="31" t="s">
        <v>4</v>
      </c>
      <c r="O25" s="31" t="s">
        <v>5</v>
      </c>
      <c r="Q25" s="29" t="s">
        <v>12</v>
      </c>
      <c r="R25" s="29">
        <v>585.80602987500004</v>
      </c>
      <c r="S25" s="29">
        <v>234322.412025</v>
      </c>
      <c r="T25" s="29">
        <v>2.5</v>
      </c>
      <c r="U25" s="29">
        <v>78303.57268495833</v>
      </c>
      <c r="V25" s="29"/>
      <c r="W25" s="29"/>
      <c r="Y25" s="5">
        <v>1</v>
      </c>
      <c r="Z25" s="5">
        <v>425.928774928775</v>
      </c>
      <c r="AA25" s="5">
        <v>-216.928774928775</v>
      </c>
      <c r="AB25" s="3"/>
      <c r="AC25" s="5">
        <v>3.125</v>
      </c>
      <c r="AD25" s="5">
        <v>119</v>
      </c>
      <c r="AE25" s="3"/>
      <c r="AF25" s="3"/>
      <c r="AG25" s="3"/>
      <c r="AH25" s="3"/>
      <c r="AI25" s="3"/>
    </row>
    <row r="26" spans="1:35" ht="16.5" thickTop="1" thickBot="1" x14ac:dyDescent="0.3">
      <c r="A26" s="27">
        <v>84</v>
      </c>
      <c r="B26" s="27">
        <v>2</v>
      </c>
      <c r="C26" s="27">
        <v>673.92857142900004</v>
      </c>
      <c r="D26" s="27">
        <v>336.96428571450002</v>
      </c>
      <c r="E26" s="27">
        <v>216529.00255073834</v>
      </c>
      <c r="F26" s="27"/>
      <c r="G26" s="27"/>
      <c r="I26" s="31" t="s">
        <v>0</v>
      </c>
      <c r="J26" s="31">
        <f>VARP('Jio - Jio Prepaid Planes'!$A$2:$A$17)</f>
        <v>11167.21484375</v>
      </c>
      <c r="K26" s="31"/>
      <c r="L26" s="31"/>
      <c r="M26" s="31"/>
      <c r="N26" s="31"/>
      <c r="O26" s="31"/>
      <c r="Q26" s="29" t="s">
        <v>13</v>
      </c>
      <c r="R26" s="29">
        <v>292950.03121514694</v>
      </c>
      <c r="S26" s="29">
        <v>46872005030.489113</v>
      </c>
      <c r="T26" s="29">
        <v>0.33333333333333331</v>
      </c>
      <c r="U26" s="29">
        <v>26060803982.590214</v>
      </c>
      <c r="V26" s="29"/>
      <c r="W26" s="29"/>
      <c r="Y26" s="5">
        <v>2</v>
      </c>
      <c r="Z26" s="5">
        <v>425.928774928775</v>
      </c>
      <c r="AA26" s="5">
        <v>-246.928774928775</v>
      </c>
      <c r="AB26" s="3"/>
      <c r="AC26" s="5">
        <v>9.375</v>
      </c>
      <c r="AD26" s="5">
        <v>149</v>
      </c>
      <c r="AE26" s="3"/>
      <c r="AF26" s="3"/>
      <c r="AG26" s="3"/>
      <c r="AH26" s="3"/>
      <c r="AI26" s="3"/>
    </row>
    <row r="27" spans="1:35" ht="16.5" thickTop="1" thickBot="1" x14ac:dyDescent="0.3">
      <c r="A27" s="27">
        <v>56</v>
      </c>
      <c r="B27" s="27">
        <v>2</v>
      </c>
      <c r="C27" s="27">
        <v>487.55357142899999</v>
      </c>
      <c r="D27" s="27">
        <v>243.77678571449999</v>
      </c>
      <c r="E27" s="27">
        <v>110659.92107760451</v>
      </c>
      <c r="F27" s="27"/>
      <c r="G27" s="27"/>
      <c r="I27" s="31" t="s">
        <v>1</v>
      </c>
      <c r="J27" s="31">
        <v>85278.31640625</v>
      </c>
      <c r="K27" s="31">
        <f>VARP('Jio - Jio Prepaid Planes'!$B$2:$B$17)</f>
        <v>669553.15234375</v>
      </c>
      <c r="L27" s="31"/>
      <c r="M27" s="31"/>
      <c r="N27" s="31"/>
      <c r="O27" s="31"/>
      <c r="Q27" s="29"/>
      <c r="R27" s="29"/>
      <c r="S27" s="29"/>
      <c r="T27" s="29"/>
      <c r="U27" s="29"/>
      <c r="V27" s="29"/>
      <c r="W27" s="29"/>
      <c r="Y27" s="5">
        <v>3</v>
      </c>
      <c r="Z27" s="5">
        <v>425.928774928775</v>
      </c>
      <c r="AA27" s="5">
        <v>-276.928774928775</v>
      </c>
      <c r="AB27" s="3"/>
      <c r="AC27" s="5">
        <v>15.625</v>
      </c>
      <c r="AD27" s="5">
        <v>179</v>
      </c>
      <c r="AE27" s="3"/>
      <c r="AF27" s="3"/>
      <c r="AG27" s="3"/>
      <c r="AH27" s="3"/>
      <c r="AI27" s="3"/>
    </row>
    <row r="28" spans="1:35" ht="16.5" thickTop="1" thickBot="1" x14ac:dyDescent="0.3">
      <c r="A28" s="27">
        <v>30</v>
      </c>
      <c r="B28" s="27">
        <v>2</v>
      </c>
      <c r="C28" s="27">
        <v>267.633333333</v>
      </c>
      <c r="D28" s="27">
        <v>133.8166666665</v>
      </c>
      <c r="E28" s="27">
        <v>31341.73388897234</v>
      </c>
      <c r="F28" s="27"/>
      <c r="G28" s="27"/>
      <c r="I28" s="31" t="s">
        <v>2</v>
      </c>
      <c r="J28" s="31">
        <v>-49.854173173316397</v>
      </c>
      <c r="K28" s="31">
        <v>-132.33280572477724</v>
      </c>
      <c r="L28" s="31">
        <f>VARP('Jio - Jio Prepaid Planes'!$C$2:$C$17)</f>
        <v>5.0488643616737647</v>
      </c>
      <c r="M28" s="31"/>
      <c r="N28" s="31"/>
      <c r="O28" s="31"/>
      <c r="Q28" s="29" t="s">
        <v>24</v>
      </c>
      <c r="R28" s="29"/>
      <c r="S28" s="29"/>
      <c r="T28" s="29"/>
      <c r="U28" s="29"/>
      <c r="V28" s="29"/>
      <c r="W28" s="29"/>
      <c r="Y28" s="5">
        <v>4</v>
      </c>
      <c r="Z28" s="5">
        <v>591.41310541310543</v>
      </c>
      <c r="AA28" s="5">
        <v>1953.5868945868947</v>
      </c>
      <c r="AB28" s="3"/>
      <c r="AC28" s="5">
        <v>21.875</v>
      </c>
      <c r="AD28" s="5">
        <v>199</v>
      </c>
      <c r="AE28" s="3"/>
      <c r="AF28" s="3"/>
      <c r="AG28" s="3"/>
      <c r="AH28" s="3"/>
      <c r="AI28" s="3"/>
    </row>
    <row r="29" spans="1:35" ht="16.5" thickTop="1" thickBot="1" x14ac:dyDescent="0.3">
      <c r="A29" s="27">
        <v>28</v>
      </c>
      <c r="B29" s="27">
        <v>2</v>
      </c>
      <c r="C29" s="27">
        <v>247.535714286</v>
      </c>
      <c r="D29" s="27">
        <v>123.767857143</v>
      </c>
      <c r="E29" s="27">
        <v>26556.893494832115</v>
      </c>
      <c r="F29" s="27"/>
      <c r="G29" s="27"/>
      <c r="I29" s="31" t="s">
        <v>3</v>
      </c>
      <c r="J29" s="31">
        <v>-18196.773209933595</v>
      </c>
      <c r="K29" s="31">
        <v>-48301.474051910176</v>
      </c>
      <c r="L29" s="31">
        <v>1842.8354928288286</v>
      </c>
      <c r="M29" s="31">
        <f>VARP('Jio - Jio Prepaid Planes'!$D$2:$D$17)</f>
        <v>672634.95518104918</v>
      </c>
      <c r="N29" s="31"/>
      <c r="O29" s="31"/>
      <c r="Q29" s="29" t="s">
        <v>10</v>
      </c>
      <c r="R29" s="29">
        <v>16</v>
      </c>
      <c r="S29" s="29">
        <v>16</v>
      </c>
      <c r="T29" s="29">
        <v>16</v>
      </c>
      <c r="U29" s="29"/>
      <c r="V29" s="29"/>
      <c r="W29" s="29"/>
      <c r="Y29" s="5">
        <v>5</v>
      </c>
      <c r="Z29" s="5">
        <v>591.41310541310543</v>
      </c>
      <c r="AA29" s="5">
        <v>74.586894586894573</v>
      </c>
      <c r="AB29" s="3"/>
      <c r="AC29" s="5">
        <v>28.125</v>
      </c>
      <c r="AD29" s="5">
        <v>209</v>
      </c>
      <c r="AE29" s="3"/>
      <c r="AF29" s="3"/>
      <c r="AG29" s="3"/>
      <c r="AH29" s="3"/>
      <c r="AI29" s="3"/>
    </row>
    <row r="30" spans="1:35" ht="16.5" thickTop="1" thickBot="1" x14ac:dyDescent="0.3">
      <c r="A30" s="27">
        <v>23</v>
      </c>
      <c r="B30" s="27">
        <v>2</v>
      </c>
      <c r="C30" s="27">
        <v>207.65217391300001</v>
      </c>
      <c r="D30" s="27">
        <v>103.82608695650001</v>
      </c>
      <c r="E30" s="27">
        <v>18116.147448023399</v>
      </c>
      <c r="F30" s="27"/>
      <c r="G30" s="27"/>
      <c r="H30" s="1"/>
      <c r="I30" s="31" t="s">
        <v>4</v>
      </c>
      <c r="J30" s="31">
        <v>-13502.944837694482</v>
      </c>
      <c r="K30" s="31">
        <v>-106131.45892341562</v>
      </c>
      <c r="L30" s="31">
        <v>191.11404988736277</v>
      </c>
      <c r="M30" s="31">
        <v>69756.628058631846</v>
      </c>
      <c r="N30" s="31">
        <f>VARP('Jio - Jio Prepaid Planes'!$E$2:$E$17)</f>
        <v>111858.08939894127</v>
      </c>
      <c r="O30" s="31"/>
      <c r="Q30" s="29" t="s">
        <v>11</v>
      </c>
      <c r="R30" s="29">
        <v>4901.7795024810002</v>
      </c>
      <c r="S30" s="29">
        <v>1960711.8013829999</v>
      </c>
      <c r="T30" s="29">
        <v>27.5</v>
      </c>
      <c r="U30" s="29"/>
      <c r="V30" s="29"/>
      <c r="W30" s="29"/>
      <c r="Y30" s="5">
        <v>6</v>
      </c>
      <c r="Z30" s="5">
        <v>591.41310541310543</v>
      </c>
      <c r="AA30" s="5">
        <v>-112.41310541310543</v>
      </c>
      <c r="AB30" s="3"/>
      <c r="AC30" s="5">
        <v>34.375</v>
      </c>
      <c r="AD30" s="5">
        <v>239</v>
      </c>
      <c r="AE30" s="3"/>
      <c r="AF30" s="3"/>
      <c r="AG30" s="3"/>
      <c r="AH30" s="3"/>
      <c r="AI30" s="3"/>
    </row>
    <row r="31" spans="1:35" ht="16.5" thickTop="1" thickBot="1" x14ac:dyDescent="0.3">
      <c r="A31" s="27">
        <v>14</v>
      </c>
      <c r="B31" s="27">
        <v>2</v>
      </c>
      <c r="C31" s="27">
        <v>127.5</v>
      </c>
      <c r="D31" s="27">
        <v>63.75</v>
      </c>
      <c r="E31" s="27">
        <v>6105.125</v>
      </c>
      <c r="F31" s="27"/>
      <c r="G31" s="27"/>
      <c r="H31" s="1"/>
      <c r="I31" s="31" t="s">
        <v>5</v>
      </c>
      <c r="J31" s="31">
        <v>-5401177.936238925</v>
      </c>
      <c r="K31" s="31">
        <v>-42452583.5782566</v>
      </c>
      <c r="L31" s="31">
        <v>76445.619980290227</v>
      </c>
      <c r="M31" s="31">
        <v>27902651.232703701</v>
      </c>
      <c r="N31" s="31">
        <v>44743235.774208404</v>
      </c>
      <c r="O31" s="31">
        <f>VARP('Jio - Jio Prepaid Planes'!$F$2:$F$17)</f>
        <v>17897294315.536118</v>
      </c>
      <c r="Q31" s="29" t="s">
        <v>12</v>
      </c>
      <c r="R31" s="29">
        <v>306.36121890506251</v>
      </c>
      <c r="S31" s="29">
        <v>122544.48758643751</v>
      </c>
      <c r="T31" s="29">
        <v>1.71875</v>
      </c>
      <c r="U31" s="29"/>
      <c r="V31" s="29"/>
      <c r="W31" s="29"/>
      <c r="Y31" s="5">
        <v>7</v>
      </c>
      <c r="Z31" s="5">
        <v>591.41310541310543</v>
      </c>
      <c r="AA31" s="5">
        <v>-332.41310541310543</v>
      </c>
      <c r="AB31" s="3"/>
      <c r="AC31" s="5">
        <v>40.625</v>
      </c>
      <c r="AD31" s="5">
        <v>249</v>
      </c>
      <c r="AE31" s="3"/>
      <c r="AF31" s="3"/>
      <c r="AG31" s="3"/>
      <c r="AH31" s="3"/>
      <c r="AI31" s="3"/>
    </row>
    <row r="32" spans="1:35" ht="15.75" thickTop="1" x14ac:dyDescent="0.25">
      <c r="A32" s="27">
        <v>365</v>
      </c>
      <c r="B32" s="27">
        <v>2</v>
      </c>
      <c r="C32" s="27">
        <v>2886.8876712330002</v>
      </c>
      <c r="D32" s="27">
        <v>1443.4438356165001</v>
      </c>
      <c r="E32" s="27">
        <v>4121643.0021989322</v>
      </c>
      <c r="F32" s="27"/>
      <c r="G32" s="27"/>
      <c r="H32" s="1"/>
      <c r="Q32" s="29" t="s">
        <v>13</v>
      </c>
      <c r="R32" s="29">
        <v>119315.29535887069</v>
      </c>
      <c r="S32" s="29">
        <v>19090447269.905193</v>
      </c>
      <c r="T32" s="29">
        <v>0.36562499999999998</v>
      </c>
      <c r="U32" s="29"/>
      <c r="V32" s="29"/>
      <c r="W32" s="29"/>
      <c r="Y32" s="5">
        <v>8</v>
      </c>
      <c r="Z32" s="5">
        <v>591.41310541310543</v>
      </c>
      <c r="AA32" s="5">
        <v>-352.41310541310543</v>
      </c>
      <c r="AB32" s="3"/>
      <c r="AC32" s="5">
        <v>46.875</v>
      </c>
      <c r="AD32" s="5">
        <v>259</v>
      </c>
      <c r="AE32" s="3"/>
      <c r="AF32" s="3"/>
      <c r="AG32" s="3"/>
      <c r="AH32" s="3"/>
      <c r="AI32" s="3"/>
    </row>
    <row r="33" spans="1:35" x14ac:dyDescent="0.25">
      <c r="A33" s="27">
        <v>56</v>
      </c>
      <c r="B33" s="27">
        <v>2</v>
      </c>
      <c r="C33" s="27">
        <v>542.51785714300001</v>
      </c>
      <c r="D33" s="27">
        <v>271.25892857150001</v>
      </c>
      <c r="E33" s="27">
        <v>137016.77694507828</v>
      </c>
      <c r="F33" s="27"/>
      <c r="G33" s="27"/>
      <c r="H33" s="1"/>
      <c r="I33" s="15" t="s">
        <v>47</v>
      </c>
      <c r="J33" s="16"/>
      <c r="K33" s="17"/>
      <c r="M33" s="18" t="s">
        <v>47</v>
      </c>
      <c r="N33" s="19"/>
      <c r="O33" s="20"/>
      <c r="Q33" s="29"/>
      <c r="R33" s="29"/>
      <c r="S33" s="29"/>
      <c r="T33" s="29"/>
      <c r="U33" s="29"/>
      <c r="V33" s="29"/>
      <c r="W33" s="29"/>
      <c r="Y33" s="5">
        <v>9</v>
      </c>
      <c r="Z33" s="5">
        <v>591.41310541310543</v>
      </c>
      <c r="AA33" s="5">
        <v>-392.41310541310543</v>
      </c>
      <c r="AB33" s="3"/>
      <c r="AC33" s="5">
        <v>53.125</v>
      </c>
      <c r="AD33" s="5">
        <v>299</v>
      </c>
      <c r="AE33" s="3"/>
      <c r="AF33" s="3"/>
      <c r="AG33" s="3"/>
      <c r="AH33" s="3"/>
      <c r="AI33" s="3"/>
    </row>
    <row r="34" spans="1:35" x14ac:dyDescent="0.25">
      <c r="A34" s="27">
        <v>28</v>
      </c>
      <c r="B34" s="27">
        <v>2</v>
      </c>
      <c r="C34" s="27">
        <v>309.67857142999998</v>
      </c>
      <c r="D34" s="27">
        <v>154.83928571499999</v>
      </c>
      <c r="E34" s="27">
        <v>41564.623086322819</v>
      </c>
      <c r="F34" s="27"/>
      <c r="G34" s="27"/>
      <c r="H34" s="1"/>
      <c r="I34" s="28"/>
      <c r="J34" s="28"/>
      <c r="K34" s="28"/>
      <c r="M34" s="27"/>
      <c r="N34" s="27"/>
      <c r="O34" s="27"/>
      <c r="Q34" s="29" t="s">
        <v>14</v>
      </c>
      <c r="R34" s="29"/>
      <c r="S34" s="29"/>
      <c r="T34" s="29"/>
      <c r="U34" s="29"/>
      <c r="V34" s="29"/>
      <c r="W34" s="29"/>
      <c r="Y34" s="5">
        <v>10</v>
      </c>
      <c r="Z34" s="5">
        <v>591.41310541310543</v>
      </c>
      <c r="AA34" s="5">
        <v>-472.41310541310543</v>
      </c>
      <c r="AB34" s="3"/>
      <c r="AC34" s="5">
        <v>59.375</v>
      </c>
      <c r="AD34" s="5">
        <v>419</v>
      </c>
      <c r="AE34" s="3"/>
      <c r="AF34" s="3"/>
      <c r="AG34" s="3"/>
      <c r="AH34" s="3"/>
      <c r="AI34" s="3"/>
    </row>
    <row r="35" spans="1:35" x14ac:dyDescent="0.25">
      <c r="A35" s="27">
        <v>23</v>
      </c>
      <c r="B35" s="27">
        <v>2</v>
      </c>
      <c r="C35" s="27">
        <v>259.82608696</v>
      </c>
      <c r="D35" s="27">
        <v>129.91304348</v>
      </c>
      <c r="E35" s="27">
        <v>28363.406426392743</v>
      </c>
      <c r="F35" s="27"/>
      <c r="G35" s="27"/>
      <c r="H35" s="1"/>
      <c r="I35" s="28"/>
      <c r="J35" s="28" t="s">
        <v>1</v>
      </c>
      <c r="K35" s="28" t="s">
        <v>6</v>
      </c>
      <c r="M35" s="27"/>
      <c r="N35" s="27" t="s">
        <v>2</v>
      </c>
      <c r="O35" s="27" t="s">
        <v>4</v>
      </c>
      <c r="Q35" s="29" t="s">
        <v>15</v>
      </c>
      <c r="R35" s="29" t="s">
        <v>16</v>
      </c>
      <c r="S35" s="29" t="s">
        <v>17</v>
      </c>
      <c r="T35" s="29" t="s">
        <v>18</v>
      </c>
      <c r="U35" s="29" t="s">
        <v>19</v>
      </c>
      <c r="V35" s="29" t="s">
        <v>20</v>
      </c>
      <c r="W35" s="29" t="s">
        <v>21</v>
      </c>
      <c r="Y35" s="5">
        <v>11</v>
      </c>
      <c r="Z35" s="5">
        <v>756.8974358974358</v>
      </c>
      <c r="AA35" s="5">
        <v>2122.1025641025644</v>
      </c>
      <c r="AB35" s="3"/>
      <c r="AC35" s="5">
        <v>65.625</v>
      </c>
      <c r="AD35" s="5">
        <v>479</v>
      </c>
      <c r="AE35" s="3"/>
      <c r="AF35" s="3"/>
      <c r="AG35" s="3"/>
      <c r="AH35" s="3"/>
      <c r="AI35" s="3"/>
    </row>
    <row r="36" spans="1:35" x14ac:dyDescent="0.25">
      <c r="A36" s="27">
        <v>84</v>
      </c>
      <c r="B36" s="27">
        <v>2</v>
      </c>
      <c r="C36" s="27">
        <v>1213.27380952</v>
      </c>
      <c r="D36" s="27">
        <v>606.63690475999999</v>
      </c>
      <c r="E36" s="27">
        <v>701788.07320462656</v>
      </c>
      <c r="F36" s="27"/>
      <c r="G36" s="27"/>
      <c r="I36" s="28" t="s">
        <v>35</v>
      </c>
      <c r="J36" s="28">
        <v>663.8125</v>
      </c>
      <c r="K36" s="28">
        <v>1.71875</v>
      </c>
      <c r="M36" s="27" t="s">
        <v>35</v>
      </c>
      <c r="N36" s="27">
        <v>9.3061668871875014</v>
      </c>
      <c r="O36" s="27">
        <v>309.98371286539998</v>
      </c>
      <c r="Q36" s="29" t="s">
        <v>26</v>
      </c>
      <c r="R36" s="29">
        <v>36731959997.502136</v>
      </c>
      <c r="S36" s="29">
        <v>3</v>
      </c>
      <c r="T36" s="29">
        <v>12243986665.834045</v>
      </c>
      <c r="U36" s="29">
        <v>2.4943591597281389</v>
      </c>
      <c r="V36" s="29">
        <v>7.5468741354827215E-2</v>
      </c>
      <c r="W36" s="29">
        <v>2.8662655509401795</v>
      </c>
      <c r="Y36" s="5">
        <v>12</v>
      </c>
      <c r="Z36" s="5">
        <v>756.8974358974358</v>
      </c>
      <c r="AA36" s="5">
        <v>-223.8974358974358</v>
      </c>
      <c r="AB36" s="3"/>
      <c r="AC36" s="5">
        <v>71.875</v>
      </c>
      <c r="AD36" s="5">
        <v>533</v>
      </c>
      <c r="AE36" s="3"/>
      <c r="AF36" s="3"/>
      <c r="AG36" s="3"/>
      <c r="AH36" s="3"/>
      <c r="AI36" s="3"/>
    </row>
    <row r="37" spans="1:35" x14ac:dyDescent="0.25">
      <c r="A37" s="27">
        <v>28</v>
      </c>
      <c r="B37" s="27">
        <v>2</v>
      </c>
      <c r="C37" s="27">
        <v>433.96428571000001</v>
      </c>
      <c r="D37" s="27">
        <v>216.98214285500001</v>
      </c>
      <c r="E37" s="27">
        <v>81622.42921091523</v>
      </c>
      <c r="F37" s="27"/>
      <c r="G37" s="27"/>
      <c r="I37" s="28" t="s">
        <v>13</v>
      </c>
      <c r="J37" s="28">
        <v>714190.02916666667</v>
      </c>
      <c r="K37" s="28">
        <v>0.36562499999999998</v>
      </c>
      <c r="M37" s="27" t="s">
        <v>13</v>
      </c>
      <c r="N37" s="27">
        <v>5.385455319118682</v>
      </c>
      <c r="O37" s="27">
        <v>127612.85995605835</v>
      </c>
      <c r="Q37" s="29" t="s">
        <v>27</v>
      </c>
      <c r="R37" s="29">
        <v>159781240207.88934</v>
      </c>
      <c r="S37" s="29">
        <v>2</v>
      </c>
      <c r="T37" s="29">
        <v>79890620103.944672</v>
      </c>
      <c r="U37" s="29">
        <v>16.275409755933524</v>
      </c>
      <c r="V37" s="29">
        <v>9.2303314154154609E-6</v>
      </c>
      <c r="W37" s="29">
        <v>3.2594463061441079</v>
      </c>
      <c r="Y37" s="5">
        <v>13</v>
      </c>
      <c r="Z37" s="5">
        <v>756.8974358974358</v>
      </c>
      <c r="AA37" s="5">
        <v>-457.8974358974358</v>
      </c>
      <c r="AB37" s="3"/>
      <c r="AC37" s="5">
        <v>78.125</v>
      </c>
      <c r="AD37" s="5">
        <v>666</v>
      </c>
      <c r="AE37" s="3"/>
      <c r="AF37" s="3"/>
      <c r="AG37" s="3"/>
      <c r="AH37" s="3"/>
      <c r="AI37" s="3"/>
    </row>
    <row r="38" spans="1:35" x14ac:dyDescent="0.25">
      <c r="A38" s="27"/>
      <c r="B38" s="27"/>
      <c r="C38" s="27"/>
      <c r="D38" s="27"/>
      <c r="E38" s="27"/>
      <c r="F38" s="27"/>
      <c r="G38" s="27"/>
      <c r="I38" s="28" t="s">
        <v>48</v>
      </c>
      <c r="J38" s="28">
        <v>16</v>
      </c>
      <c r="K38" s="28">
        <v>16</v>
      </c>
      <c r="M38" s="27" t="s">
        <v>48</v>
      </c>
      <c r="N38" s="27">
        <v>16</v>
      </c>
      <c r="O38" s="27">
        <v>15</v>
      </c>
      <c r="Q38" s="29" t="s">
        <v>28</v>
      </c>
      <c r="R38" s="29">
        <v>72914408838.326233</v>
      </c>
      <c r="S38" s="29">
        <v>6</v>
      </c>
      <c r="T38" s="29">
        <v>12152401473.054373</v>
      </c>
      <c r="U38" s="29">
        <v>2.475701318067554</v>
      </c>
      <c r="V38" s="29">
        <v>4.1553643777158623E-2</v>
      </c>
      <c r="W38" s="29">
        <v>2.3637509583661451</v>
      </c>
      <c r="Y38" s="5">
        <v>14</v>
      </c>
      <c r="Z38" s="5">
        <v>756.8974358974358</v>
      </c>
      <c r="AA38" s="5">
        <v>-507.8974358974358</v>
      </c>
      <c r="AB38" s="3"/>
      <c r="AC38" s="5">
        <v>84.375</v>
      </c>
      <c r="AD38" s="5">
        <v>1199</v>
      </c>
      <c r="AE38" s="3"/>
      <c r="AF38" s="3"/>
      <c r="AG38" s="3"/>
      <c r="AH38" s="3"/>
      <c r="AI38" s="3"/>
    </row>
    <row r="39" spans="1:35" x14ac:dyDescent="0.25">
      <c r="A39" s="27" t="s">
        <v>1</v>
      </c>
      <c r="B39" s="27">
        <v>16</v>
      </c>
      <c r="C39" s="27">
        <v>10621</v>
      </c>
      <c r="D39" s="27">
        <v>663.8125</v>
      </c>
      <c r="E39" s="27">
        <v>714190.02916666667</v>
      </c>
      <c r="F39" s="27"/>
      <c r="G39" s="27"/>
      <c r="I39" s="28" t="s">
        <v>17</v>
      </c>
      <c r="J39" s="28">
        <v>15</v>
      </c>
      <c r="K39" s="28">
        <v>15</v>
      </c>
      <c r="M39" s="27" t="s">
        <v>17</v>
      </c>
      <c r="N39" s="27">
        <v>15</v>
      </c>
      <c r="O39" s="27">
        <v>14</v>
      </c>
      <c r="Q39" s="29" t="s">
        <v>29</v>
      </c>
      <c r="R39" s="29">
        <v>176712129947.66431</v>
      </c>
      <c r="S39" s="29">
        <v>36</v>
      </c>
      <c r="T39" s="29">
        <v>4908670276.3240089</v>
      </c>
      <c r="U39" s="29"/>
      <c r="V39" s="29"/>
      <c r="W39" s="29"/>
      <c r="Y39" s="5">
        <v>15</v>
      </c>
      <c r="Z39" s="5">
        <v>1087.8660968660965</v>
      </c>
      <c r="AA39" s="5">
        <v>111.13390313390346</v>
      </c>
      <c r="AB39" s="3"/>
      <c r="AC39" s="5">
        <v>90.625</v>
      </c>
      <c r="AD39" s="5">
        <v>2545</v>
      </c>
      <c r="AE39" s="3"/>
      <c r="AF39" s="3"/>
      <c r="AG39" s="3"/>
      <c r="AH39" s="3"/>
      <c r="AI39" s="3"/>
    </row>
    <row r="40" spans="1:35" x14ac:dyDescent="0.25">
      <c r="A40" s="27" t="s">
        <v>2</v>
      </c>
      <c r="B40" s="27">
        <v>16</v>
      </c>
      <c r="C40" s="27">
        <v>148.89867019500002</v>
      </c>
      <c r="D40" s="27">
        <v>9.3061668871875014</v>
      </c>
      <c r="E40" s="27">
        <v>5.385455319118682</v>
      </c>
      <c r="F40" s="27"/>
      <c r="G40" s="27"/>
      <c r="I40" s="28" t="s">
        <v>19</v>
      </c>
      <c r="J40" s="28">
        <v>1953340.2507122508</v>
      </c>
      <c r="K40" s="28"/>
      <c r="M40" s="27" t="s">
        <v>19</v>
      </c>
      <c r="N40" s="27">
        <v>4.2201509479319604E-5</v>
      </c>
      <c r="O40" s="27"/>
      <c r="Q40" s="29"/>
      <c r="R40" s="29"/>
      <c r="S40" s="29"/>
      <c r="T40" s="29"/>
      <c r="U40" s="29"/>
      <c r="V40" s="29"/>
      <c r="W40" s="29"/>
      <c r="Y40" s="5">
        <v>16</v>
      </c>
      <c r="Z40" s="5">
        <v>1087.8660968660965</v>
      </c>
      <c r="AA40" s="5">
        <v>-668.86609686609654</v>
      </c>
      <c r="AB40" s="3"/>
      <c r="AC40" s="5">
        <v>96.875</v>
      </c>
      <c r="AD40" s="5">
        <v>2879</v>
      </c>
      <c r="AE40" s="3"/>
      <c r="AF40" s="3"/>
      <c r="AG40" s="3"/>
      <c r="AH40" s="3"/>
      <c r="AI40" s="3"/>
    </row>
    <row r="41" spans="1:35" x14ac:dyDescent="0.25">
      <c r="A41" s="27"/>
      <c r="B41" s="27"/>
      <c r="C41" s="27"/>
      <c r="D41" s="27"/>
      <c r="E41" s="27"/>
      <c r="F41" s="27"/>
      <c r="G41" s="27"/>
      <c r="I41" s="28" t="s">
        <v>49</v>
      </c>
      <c r="J41" s="28">
        <v>2.1889925128910806E-44</v>
      </c>
      <c r="K41" s="28"/>
      <c r="M41" s="27" t="s">
        <v>49</v>
      </c>
      <c r="N41" s="27">
        <v>0</v>
      </c>
      <c r="O41" s="27"/>
      <c r="Q41" s="29" t="s">
        <v>24</v>
      </c>
      <c r="R41" s="29">
        <v>446139738991.38202</v>
      </c>
      <c r="S41" s="29">
        <v>47</v>
      </c>
      <c r="T41" s="29"/>
      <c r="U41" s="29"/>
      <c r="V41" s="29"/>
      <c r="W41" s="29"/>
    </row>
    <row r="42" spans="1:35" x14ac:dyDescent="0.25">
      <c r="A42" s="27" t="s">
        <v>14</v>
      </c>
      <c r="B42" s="27"/>
      <c r="C42" s="27"/>
      <c r="D42" s="27"/>
      <c r="E42" s="27"/>
      <c r="F42" s="27"/>
      <c r="G42" s="27"/>
      <c r="I42" s="28" t="s">
        <v>50</v>
      </c>
      <c r="J42" s="28">
        <v>2.4034470714953358</v>
      </c>
      <c r="K42" s="28"/>
      <c r="M42" s="27" t="s">
        <v>50</v>
      </c>
      <c r="N42" s="27">
        <v>0.41247925340463593</v>
      </c>
      <c r="O42" s="27"/>
    </row>
    <row r="43" spans="1:35" x14ac:dyDescent="0.25">
      <c r="A43" s="27" t="s">
        <v>15</v>
      </c>
      <c r="B43" s="27" t="s">
        <v>16</v>
      </c>
      <c r="C43" s="27" t="s">
        <v>17</v>
      </c>
      <c r="D43" s="27" t="s">
        <v>18</v>
      </c>
      <c r="E43" s="27" t="s">
        <v>19</v>
      </c>
      <c r="F43" s="27" t="s">
        <v>20</v>
      </c>
      <c r="G43" s="27" t="s">
        <v>21</v>
      </c>
    </row>
    <row r="44" spans="1:35" x14ac:dyDescent="0.25">
      <c r="A44" s="27" t="s">
        <v>31</v>
      </c>
      <c r="B44" s="27">
        <v>5354348.284773292</v>
      </c>
      <c r="C44" s="27">
        <v>15</v>
      </c>
      <c r="D44" s="27">
        <v>356956.55231821944</v>
      </c>
      <c r="E44" s="27">
        <v>0.99920974447257405</v>
      </c>
      <c r="F44" s="27">
        <v>0.50060066430258565</v>
      </c>
      <c r="G44" s="27">
        <v>2.4034470714953358</v>
      </c>
      <c r="P44" s="6" t="s">
        <v>51</v>
      </c>
      <c r="Q44" s="7"/>
      <c r="R44" s="8"/>
      <c r="T44" s="2" t="s">
        <v>79</v>
      </c>
      <c r="U44" s="2"/>
      <c r="V44" s="2"/>
    </row>
    <row r="45" spans="1:35" x14ac:dyDescent="0.25">
      <c r="A45" s="27" t="s">
        <v>27</v>
      </c>
      <c r="B45" s="27">
        <v>3427028.3206782341</v>
      </c>
      <c r="C45" s="27">
        <v>1</v>
      </c>
      <c r="D45" s="27">
        <v>3427028.3206782341</v>
      </c>
      <c r="E45" s="27">
        <v>9.5931005338500182</v>
      </c>
      <c r="F45" s="27">
        <v>7.3581011329498253E-3</v>
      </c>
      <c r="G45" s="27">
        <v>4.5430771652669701</v>
      </c>
      <c r="P45" s="3"/>
      <c r="Q45" s="3"/>
      <c r="R45" s="3"/>
      <c r="T45" s="3"/>
      <c r="U45" s="3"/>
      <c r="V45" s="3"/>
    </row>
    <row r="46" spans="1:35" x14ac:dyDescent="0.25">
      <c r="A46" s="27" t="s">
        <v>32</v>
      </c>
      <c r="B46" s="27">
        <v>5358582.9345564954</v>
      </c>
      <c r="C46" s="27">
        <v>15</v>
      </c>
      <c r="D46" s="27">
        <v>357238.86230376636</v>
      </c>
      <c r="E46" s="27"/>
      <c r="F46" s="27"/>
      <c r="G46" s="27"/>
      <c r="P46" s="4"/>
      <c r="Q46" s="4" t="s">
        <v>4</v>
      </c>
      <c r="R46" s="4" t="s">
        <v>5</v>
      </c>
      <c r="T46" s="4"/>
      <c r="U46" s="4" t="s">
        <v>3</v>
      </c>
      <c r="V46" s="4" t="s">
        <v>2</v>
      </c>
    </row>
    <row r="47" spans="1:35" x14ac:dyDescent="0.25">
      <c r="A47" s="27"/>
      <c r="B47" s="27"/>
      <c r="C47" s="27"/>
      <c r="D47" s="27"/>
      <c r="E47" s="27"/>
      <c r="F47" s="27"/>
      <c r="G47" s="27"/>
      <c r="P47" s="5" t="s">
        <v>35</v>
      </c>
      <c r="Q47" s="5">
        <v>306.36121890506251</v>
      </c>
      <c r="R47" s="5">
        <v>122544.48758643751</v>
      </c>
      <c r="T47" s="5" t="s">
        <v>35</v>
      </c>
      <c r="U47" s="5">
        <v>3396.7509138125006</v>
      </c>
      <c r="V47" s="5">
        <v>9.3061668871875014</v>
      </c>
    </row>
    <row r="48" spans="1:35" x14ac:dyDescent="0.25">
      <c r="A48" s="27" t="s">
        <v>24</v>
      </c>
      <c r="B48" s="27">
        <v>14139959.540008022</v>
      </c>
      <c r="C48" s="27">
        <v>31</v>
      </c>
      <c r="D48" s="27"/>
      <c r="E48" s="27"/>
      <c r="F48" s="27"/>
      <c r="G48" s="27"/>
      <c r="P48" s="5" t="s">
        <v>13</v>
      </c>
      <c r="Q48" s="5">
        <v>119315.29535887069</v>
      </c>
      <c r="R48" s="5">
        <v>19090447269.905193</v>
      </c>
      <c r="T48" s="5" t="s">
        <v>13</v>
      </c>
      <c r="U48" s="5">
        <v>717477.28552645247</v>
      </c>
      <c r="V48" s="5">
        <v>5.385455319118682</v>
      </c>
    </row>
    <row r="49" spans="1:22" x14ac:dyDescent="0.25">
      <c r="P49" s="5" t="s">
        <v>48</v>
      </c>
      <c r="Q49" s="5">
        <v>16</v>
      </c>
      <c r="R49" s="5">
        <v>16</v>
      </c>
      <c r="T49" s="5" t="s">
        <v>48</v>
      </c>
      <c r="U49" s="5">
        <v>16</v>
      </c>
      <c r="V49" s="5">
        <v>16</v>
      </c>
    </row>
    <row r="50" spans="1:22" x14ac:dyDescent="0.25">
      <c r="A50" s="9" t="s">
        <v>46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P50" s="5" t="s">
        <v>52</v>
      </c>
      <c r="Q50" s="5">
        <v>1</v>
      </c>
      <c r="R50" s="5"/>
      <c r="T50" s="5" t="s">
        <v>80</v>
      </c>
      <c r="U50" s="5">
        <v>358741.33549088583</v>
      </c>
      <c r="V50" s="5"/>
    </row>
    <row r="51" spans="1:22" x14ac:dyDescent="0.25">
      <c r="A51" s="10" t="s">
        <v>0</v>
      </c>
      <c r="B51" s="10"/>
      <c r="C51" s="10" t="s">
        <v>1</v>
      </c>
      <c r="D51" s="10"/>
      <c r="E51" s="10" t="s">
        <v>2</v>
      </c>
      <c r="F51" s="10"/>
      <c r="G51" s="10" t="s">
        <v>3</v>
      </c>
      <c r="H51" s="10"/>
      <c r="I51" s="10" t="s">
        <v>4</v>
      </c>
      <c r="J51" s="10"/>
      <c r="K51" s="10" t="s">
        <v>5</v>
      </c>
      <c r="L51" s="10"/>
      <c r="M51" s="10" t="s">
        <v>6</v>
      </c>
      <c r="N51" s="10"/>
      <c r="P51" s="5" t="s">
        <v>53</v>
      </c>
      <c r="Q51" s="5">
        <v>130</v>
      </c>
      <c r="R51" s="5"/>
      <c r="T51" s="5" t="s">
        <v>53</v>
      </c>
      <c r="U51" s="5">
        <v>9</v>
      </c>
      <c r="V51" s="5"/>
    </row>
    <row r="52" spans="1:22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P52" s="5" t="s">
        <v>17</v>
      </c>
      <c r="Q52" s="5">
        <v>15</v>
      </c>
      <c r="R52" s="5"/>
      <c r="T52" s="5" t="s">
        <v>17</v>
      </c>
      <c r="U52" s="5">
        <v>30</v>
      </c>
      <c r="V52" s="5"/>
    </row>
    <row r="53" spans="1:22" x14ac:dyDescent="0.25">
      <c r="A53" s="26" t="s">
        <v>35</v>
      </c>
      <c r="B53" s="26">
        <v>76.6875</v>
      </c>
      <c r="C53" s="26" t="s">
        <v>35</v>
      </c>
      <c r="D53" s="26">
        <v>663.8125</v>
      </c>
      <c r="E53" s="26" t="s">
        <v>35</v>
      </c>
      <c r="F53" s="26">
        <v>9.3061668871875014</v>
      </c>
      <c r="G53" s="26" t="s">
        <v>35</v>
      </c>
      <c r="H53" s="26">
        <v>3396.7509138125006</v>
      </c>
      <c r="I53" s="26" t="s">
        <v>35</v>
      </c>
      <c r="J53" s="26">
        <v>306.36121890506251</v>
      </c>
      <c r="K53" s="26" t="s">
        <v>35</v>
      </c>
      <c r="L53" s="26">
        <v>122544.48758643751</v>
      </c>
      <c r="M53" s="26" t="s">
        <v>35</v>
      </c>
      <c r="N53" s="26">
        <v>1.71875</v>
      </c>
      <c r="P53" s="5" t="s">
        <v>54</v>
      </c>
      <c r="Q53" s="5">
        <v>-3.5514634181827121</v>
      </c>
      <c r="R53" s="5"/>
      <c r="T53" s="5" t="s">
        <v>54</v>
      </c>
      <c r="U53" s="5">
        <v>15.954055695142083</v>
      </c>
      <c r="V53" s="5"/>
    </row>
    <row r="54" spans="1:22" x14ac:dyDescent="0.25">
      <c r="A54" s="26" t="s">
        <v>36</v>
      </c>
      <c r="B54" s="26">
        <v>27.285178936252798</v>
      </c>
      <c r="C54" s="26" t="s">
        <v>36</v>
      </c>
      <c r="D54" s="26">
        <v>211.27441118819067</v>
      </c>
      <c r="E54" s="26" t="s">
        <v>36</v>
      </c>
      <c r="F54" s="26">
        <v>0.58016459513220697</v>
      </c>
      <c r="G54" s="26" t="s">
        <v>36</v>
      </c>
      <c r="H54" s="26">
        <v>211.76007731723956</v>
      </c>
      <c r="I54" s="26" t="s">
        <v>36</v>
      </c>
      <c r="J54" s="26">
        <v>86.355115424214546</v>
      </c>
      <c r="K54" s="26" t="s">
        <v>36</v>
      </c>
      <c r="L54" s="26">
        <v>34542.046180981728</v>
      </c>
      <c r="M54" s="26" t="s">
        <v>36</v>
      </c>
      <c r="N54" s="26">
        <v>0.1511673327805978</v>
      </c>
      <c r="P54" s="5" t="s">
        <v>55</v>
      </c>
      <c r="Q54" s="5">
        <v>1.4502552050813672E-3</v>
      </c>
      <c r="R54" s="5"/>
      <c r="T54" s="5" t="s">
        <v>55</v>
      </c>
      <c r="U54" s="5">
        <v>1.6834249045301431E-16</v>
      </c>
      <c r="V54" s="5"/>
    </row>
    <row r="55" spans="1:22" x14ac:dyDescent="0.25">
      <c r="A55" s="26" t="s">
        <v>37</v>
      </c>
      <c r="B55" s="26">
        <v>28</v>
      </c>
      <c r="C55" s="26" t="s">
        <v>37</v>
      </c>
      <c r="D55" s="26">
        <v>279</v>
      </c>
      <c r="E55" s="26" t="s">
        <v>37</v>
      </c>
      <c r="F55" s="26">
        <v>8.5446428574999995</v>
      </c>
      <c r="G55" s="26" t="s">
        <v>37</v>
      </c>
      <c r="H55" s="26">
        <v>3118.7946425</v>
      </c>
      <c r="I55" s="26" t="s">
        <v>37</v>
      </c>
      <c r="J55" s="26">
        <v>294.9330357</v>
      </c>
      <c r="K55" s="26" t="s">
        <v>37</v>
      </c>
      <c r="L55" s="26">
        <v>117973.21429999999</v>
      </c>
      <c r="M55" s="26" t="s">
        <v>37</v>
      </c>
      <c r="N55" s="26">
        <v>1.5</v>
      </c>
      <c r="P55" s="5" t="s">
        <v>56</v>
      </c>
      <c r="Q55" s="5">
        <v>1.7530503556925723</v>
      </c>
      <c r="R55" s="5"/>
      <c r="T55" s="5" t="s">
        <v>56</v>
      </c>
      <c r="U55" s="5">
        <v>1.6972608865939587</v>
      </c>
      <c r="V55" s="5"/>
    </row>
    <row r="56" spans="1:22" x14ac:dyDescent="0.25">
      <c r="A56" s="26" t="s">
        <v>38</v>
      </c>
      <c r="B56" s="26">
        <v>28</v>
      </c>
      <c r="C56" s="26" t="s">
        <v>38</v>
      </c>
      <c r="D56" s="26" t="e">
        <v>#N/A</v>
      </c>
      <c r="E56" s="26" t="s">
        <v>38</v>
      </c>
      <c r="F56" s="26" t="e">
        <v>#N/A</v>
      </c>
      <c r="G56" s="26" t="s">
        <v>38</v>
      </c>
      <c r="H56" s="26" t="e">
        <v>#N/A</v>
      </c>
      <c r="I56" s="26" t="s">
        <v>38</v>
      </c>
      <c r="J56" s="26">
        <v>0</v>
      </c>
      <c r="K56" s="26" t="s">
        <v>38</v>
      </c>
      <c r="L56" s="26">
        <v>0</v>
      </c>
      <c r="M56" s="26" t="s">
        <v>38</v>
      </c>
      <c r="N56" s="26">
        <v>1.5</v>
      </c>
      <c r="P56" s="5" t="s">
        <v>57</v>
      </c>
      <c r="Q56" s="5">
        <v>2.9005104101627343E-3</v>
      </c>
      <c r="R56" s="5"/>
      <c r="T56" s="5" t="s">
        <v>57</v>
      </c>
      <c r="U56" s="5">
        <v>3.3668498090602861E-16</v>
      </c>
      <c r="V56" s="5"/>
    </row>
    <row r="57" spans="1:22" x14ac:dyDescent="0.25">
      <c r="A57" s="26" t="s">
        <v>39</v>
      </c>
      <c r="B57" s="26">
        <v>109.14071574501119</v>
      </c>
      <c r="C57" s="26" t="s">
        <v>39</v>
      </c>
      <c r="D57" s="26">
        <v>845.09764475276268</v>
      </c>
      <c r="E57" s="26" t="s">
        <v>39</v>
      </c>
      <c r="F57" s="26">
        <v>2.3206583805288279</v>
      </c>
      <c r="G57" s="26" t="s">
        <v>39</v>
      </c>
      <c r="H57" s="26">
        <v>847.04030926895825</v>
      </c>
      <c r="I57" s="26" t="s">
        <v>39</v>
      </c>
      <c r="J57" s="26">
        <v>345.42046169685818</v>
      </c>
      <c r="K57" s="26" t="s">
        <v>39</v>
      </c>
      <c r="L57" s="26">
        <v>138168.18472392691</v>
      </c>
      <c r="M57" s="26" t="s">
        <v>39</v>
      </c>
      <c r="N57" s="26">
        <v>0.60466933112239118</v>
      </c>
      <c r="P57" s="5" t="s">
        <v>58</v>
      </c>
      <c r="Q57" s="5">
        <v>2.1314495455597742</v>
      </c>
      <c r="R57" s="5"/>
      <c r="T57" s="5" t="s">
        <v>58</v>
      </c>
      <c r="U57" s="5">
        <v>2.0422724563012378</v>
      </c>
      <c r="V57" s="5"/>
    </row>
    <row r="58" spans="1:22" x14ac:dyDescent="0.25">
      <c r="A58" s="26" t="s">
        <v>40</v>
      </c>
      <c r="B58" s="26">
        <v>11911.695833333333</v>
      </c>
      <c r="C58" s="26" t="s">
        <v>40</v>
      </c>
      <c r="D58" s="26">
        <v>714190.02916666667</v>
      </c>
      <c r="E58" s="26" t="s">
        <v>40</v>
      </c>
      <c r="F58" s="26">
        <v>5.385455319118682</v>
      </c>
      <c r="G58" s="26" t="s">
        <v>40</v>
      </c>
      <c r="H58" s="26">
        <v>717477.28552645247</v>
      </c>
      <c r="I58" s="26" t="s">
        <v>40</v>
      </c>
      <c r="J58" s="26">
        <v>119315.29535887069</v>
      </c>
      <c r="K58" s="26" t="s">
        <v>40</v>
      </c>
      <c r="L58" s="26">
        <v>19090447269.905193</v>
      </c>
      <c r="M58" s="26" t="s">
        <v>40</v>
      </c>
      <c r="N58" s="26">
        <v>0.36562499999999998</v>
      </c>
    </row>
    <row r="59" spans="1:22" x14ac:dyDescent="0.25">
      <c r="A59" s="26" t="s">
        <v>41</v>
      </c>
      <c r="B59" s="26">
        <v>4.3727423508283492</v>
      </c>
      <c r="C59" s="26" t="s">
        <v>41</v>
      </c>
      <c r="D59" s="26">
        <v>3.5380480728336154</v>
      </c>
      <c r="E59" s="26" t="s">
        <v>41</v>
      </c>
      <c r="F59" s="26">
        <v>2.1172485642476522</v>
      </c>
      <c r="G59" s="26" t="s">
        <v>41</v>
      </c>
      <c r="H59" s="26">
        <v>2.1172485717970941</v>
      </c>
      <c r="I59" s="26" t="s">
        <v>41</v>
      </c>
      <c r="J59" s="26">
        <v>0.9242631774312029</v>
      </c>
      <c r="K59" s="26" t="s">
        <v>41</v>
      </c>
      <c r="L59" s="26">
        <v>0.92426317854399986</v>
      </c>
      <c r="M59" s="26" t="s">
        <v>41</v>
      </c>
      <c r="N59" s="26">
        <v>0.93550689211438964</v>
      </c>
    </row>
    <row r="60" spans="1:22" x14ac:dyDescent="0.25">
      <c r="A60" s="26" t="s">
        <v>42</v>
      </c>
      <c r="B60" s="26">
        <v>2.34060030449985</v>
      </c>
      <c r="C60" s="26" t="s">
        <v>42</v>
      </c>
      <c r="D60" s="26">
        <v>2.119215220886526</v>
      </c>
      <c r="E60" s="26" t="s">
        <v>42</v>
      </c>
      <c r="F60" s="26">
        <v>1.6961649588254779</v>
      </c>
      <c r="G60" s="26" t="s">
        <v>42</v>
      </c>
      <c r="H60" s="26">
        <v>1.6961649608519545</v>
      </c>
      <c r="I60" s="26" t="s">
        <v>42</v>
      </c>
      <c r="J60" s="26">
        <v>1.2213979802731949</v>
      </c>
      <c r="K60" s="26" t="s">
        <v>42</v>
      </c>
      <c r="L60" s="26">
        <v>1.2213979807633628</v>
      </c>
      <c r="M60" s="26" t="s">
        <v>42</v>
      </c>
      <c r="N60" s="26">
        <v>1.0712320179011012</v>
      </c>
    </row>
    <row r="61" spans="1:22" x14ac:dyDescent="0.25">
      <c r="A61" s="26" t="s">
        <v>43</v>
      </c>
      <c r="B61" s="26">
        <v>351</v>
      </c>
      <c r="C61" s="26" t="s">
        <v>43</v>
      </c>
      <c r="D61" s="26">
        <v>2760</v>
      </c>
      <c r="E61" s="26" t="s">
        <v>43</v>
      </c>
      <c r="F61" s="26">
        <v>7.5142857100000002</v>
      </c>
      <c r="G61" s="26" t="s">
        <v>43</v>
      </c>
      <c r="H61" s="26">
        <v>2742.7142860000004</v>
      </c>
      <c r="I61" s="26" t="s">
        <v>43</v>
      </c>
      <c r="J61" s="26">
        <v>1072.521739</v>
      </c>
      <c r="K61" s="26" t="s">
        <v>43</v>
      </c>
      <c r="L61" s="26">
        <v>429008.69569999998</v>
      </c>
      <c r="M61" s="26" t="s">
        <v>43</v>
      </c>
      <c r="N61" s="26">
        <v>2</v>
      </c>
    </row>
    <row r="62" spans="1:22" x14ac:dyDescent="0.25">
      <c r="A62" s="26" t="s">
        <v>44</v>
      </c>
      <c r="B62" s="26">
        <v>14</v>
      </c>
      <c r="C62" s="26" t="s">
        <v>44</v>
      </c>
      <c r="D62" s="26">
        <v>119</v>
      </c>
      <c r="E62" s="26" t="s">
        <v>44</v>
      </c>
      <c r="F62" s="26">
        <v>7.45</v>
      </c>
      <c r="G62" s="26" t="s">
        <v>44</v>
      </c>
      <c r="H62" s="26">
        <v>2719.25</v>
      </c>
      <c r="I62" s="26" t="s">
        <v>44</v>
      </c>
      <c r="J62" s="26">
        <v>0</v>
      </c>
      <c r="K62" s="26" t="s">
        <v>44</v>
      </c>
      <c r="L62" s="26">
        <v>0</v>
      </c>
      <c r="M62" s="26" t="s">
        <v>44</v>
      </c>
      <c r="N62" s="26">
        <v>1</v>
      </c>
    </row>
    <row r="63" spans="1:22" x14ac:dyDescent="0.25">
      <c r="A63" s="26" t="s">
        <v>45</v>
      </c>
      <c r="B63" s="26">
        <v>365</v>
      </c>
      <c r="C63" s="26" t="s">
        <v>45</v>
      </c>
      <c r="D63" s="26">
        <v>2879</v>
      </c>
      <c r="E63" s="26" t="s">
        <v>45</v>
      </c>
      <c r="F63" s="26">
        <v>14.96428571</v>
      </c>
      <c r="G63" s="26" t="s">
        <v>45</v>
      </c>
      <c r="H63" s="26">
        <v>5461.9642860000004</v>
      </c>
      <c r="I63" s="26" t="s">
        <v>45</v>
      </c>
      <c r="J63" s="26">
        <v>1072.521739</v>
      </c>
      <c r="K63" s="26" t="s">
        <v>45</v>
      </c>
      <c r="L63" s="26">
        <v>429008.69569999998</v>
      </c>
      <c r="M63" s="26" t="s">
        <v>45</v>
      </c>
      <c r="N63" s="26">
        <v>3</v>
      </c>
    </row>
    <row r="64" spans="1:22" x14ac:dyDescent="0.25">
      <c r="A64" s="26" t="s">
        <v>11</v>
      </c>
      <c r="B64" s="26">
        <v>1227</v>
      </c>
      <c r="C64" s="26" t="s">
        <v>11</v>
      </c>
      <c r="D64" s="26">
        <v>10621</v>
      </c>
      <c r="E64" s="26" t="s">
        <v>11</v>
      </c>
      <c r="F64" s="26">
        <v>148.89867019500002</v>
      </c>
      <c r="G64" s="26" t="s">
        <v>11</v>
      </c>
      <c r="H64" s="26">
        <v>54348.014621000009</v>
      </c>
      <c r="I64" s="26" t="s">
        <v>11</v>
      </c>
      <c r="J64" s="26">
        <v>4901.7795024810002</v>
      </c>
      <c r="K64" s="26" t="s">
        <v>11</v>
      </c>
      <c r="L64" s="26">
        <v>1960711.8013830001</v>
      </c>
      <c r="M64" s="26" t="s">
        <v>11</v>
      </c>
      <c r="N64" s="26">
        <v>27.5</v>
      </c>
    </row>
    <row r="65" spans="1:14" x14ac:dyDescent="0.25">
      <c r="A65" s="26" t="s">
        <v>10</v>
      </c>
      <c r="B65" s="26">
        <v>16</v>
      </c>
      <c r="C65" s="26" t="s">
        <v>10</v>
      </c>
      <c r="D65" s="26">
        <v>16</v>
      </c>
      <c r="E65" s="26" t="s">
        <v>10</v>
      </c>
      <c r="F65" s="26">
        <v>16</v>
      </c>
      <c r="G65" s="26" t="s">
        <v>10</v>
      </c>
      <c r="H65" s="26">
        <v>16</v>
      </c>
      <c r="I65" s="26" t="s">
        <v>10</v>
      </c>
      <c r="J65" s="26">
        <v>16</v>
      </c>
      <c r="K65" s="26" t="s">
        <v>10</v>
      </c>
      <c r="L65" s="26">
        <v>16</v>
      </c>
      <c r="M65" s="26" t="s">
        <v>10</v>
      </c>
      <c r="N65" s="26">
        <v>16</v>
      </c>
    </row>
  </sheetData>
  <sortState xmlns:xlrd2="http://schemas.microsoft.com/office/spreadsheetml/2017/richdata2" ref="AD25:AD40">
    <sortCondition ref="AD25"/>
  </sortState>
  <mergeCells count="11">
    <mergeCell ref="Y1:AG1"/>
    <mergeCell ref="P44:R44"/>
    <mergeCell ref="T44:V44"/>
    <mergeCell ref="A50:N50"/>
    <mergeCell ref="M33:O33"/>
    <mergeCell ref="I33:K33"/>
    <mergeCell ref="I1:O1"/>
    <mergeCell ref="Q1:W1"/>
    <mergeCell ref="I16:O16"/>
    <mergeCell ref="I24:O24"/>
    <mergeCell ref="A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Jio - Jio Prepaid Planes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2026-06-05T06:35:42Z</dcterms:created>
  <dcterms:modified xsi:type="dcterms:W3CDTF">2026-06-05T06:35:42Z</dcterms:modified>
</cp:coreProperties>
</file>